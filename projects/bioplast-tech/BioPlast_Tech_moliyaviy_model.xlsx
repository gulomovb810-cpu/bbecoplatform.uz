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irish" sheetId="1" state="visible" r:id="rId3"/>
    <sheet name="CAPEX" sheetId="2" state="visible" r:id="rId4"/>
    <sheet name="Xodimlar" sheetId="3" state="visible" r:id="rId5"/>
    <sheet name="Tannarx" sheetId="4" state="visible" r:id="rId6"/>
    <sheet name="Prognoz" sheetId="5" state="visible" r:id="rId7"/>
    <sheet name="Sezgirlik" sheetId="6" state="visible" r:id="rId8"/>
    <sheet name="Eski vs Yangi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<sst xmlns="http://schemas.openxmlformats.org/spreadsheetml/2006/main" count="426" uniqueCount="353">
  <si>
    <t xml:space="preserve">BioPlast Tech — asosiy farazlar (ko'k = kiritiladigan qiymat, sariq = asosiy faraz)</t>
  </si>
  <si>
    <t xml:space="preserve">Narxlar AQSh dollarida, QQSsiz, real (inflyatsiyasiz) ifodada. Ko'k raqamlarni o'zgartirsangiz, barcha varaqlar avtomatik qayta hisoblanadi.</t>
  </si>
  <si>
    <t xml:space="preserve">Ko'rsatkich</t>
  </si>
  <si>
    <t xml:space="preserve">Qiymat</t>
  </si>
  <si>
    <t xml:space="preserve">Birlik</t>
  </si>
  <si>
    <t xml:space="preserve">Manba / izoh</t>
  </si>
  <si>
    <t xml:space="preserve">Makroiqtisodiy</t>
  </si>
  <si>
    <t xml:space="preserve">Valyuta kursi</t>
  </si>
  <si>
    <t xml:space="preserve">so'm / $</t>
  </si>
  <si>
    <t xml:space="preserve">O'zR MB: 22.10.2026 da 11 966 so'm; yaxlitlangan. cbu.uz</t>
  </si>
  <si>
    <t xml:space="preserve">Elektr energiya tarifi (yuridik shaxslar)</t>
  </si>
  <si>
    <t xml:space="preserve">so'm / kWh</t>
  </si>
  <si>
    <t xml:space="preserve">VM qarori, 01.06.2026 dan (kun.uz, 15.05.2026; interfax.com)</t>
  </si>
  <si>
    <t xml:space="preserve">Tabiiy gaz tarifi (yuridik shaxslar)</t>
  </si>
  <si>
    <t xml:space="preserve">so'm / m³</t>
  </si>
  <si>
    <t xml:space="preserve">01.06.2026 dan (interfax.com, 15.05.2026)</t>
  </si>
  <si>
    <t xml:space="preserve">Foyda solig'i</t>
  </si>
  <si>
    <t xml:space="preserve">%</t>
  </si>
  <si>
    <t xml:space="preserve">O'zR Soliq kodeksi, 337-modda — 15%</t>
  </si>
  <si>
    <t xml:space="preserve">Ijtimoiy soliq</t>
  </si>
  <si>
    <t xml:space="preserve">O'zR Soliq kodeksi — 12% (ish haqi fondiga)</t>
  </si>
  <si>
    <t xml:space="preserve">Diskont stavkasi (USD, xavf bilan)</t>
  </si>
  <si>
    <t xml:space="preserve">Startap xavfi hisobga olingan faraz</t>
  </si>
  <si>
    <t xml:space="preserve">PHA ishlab chiqarish (Cupriavidus necator H16)</t>
  </si>
  <si>
    <t xml:space="preserve">PHA chiqishi (substrat bo'yicha)</t>
  </si>
  <si>
    <t xml:space="preserve">kg PHA / kg yog'</t>
  </si>
  <si>
    <t xml:space="preserve">Nazariy maks. ~0.7; o'simlik yog'ida 0.6–0.8 qayd etilgan, konservativ</t>
  </si>
  <si>
    <t xml:space="preserve">Xomashyo: ishlatilgan yog' / soapstok narxi</t>
  </si>
  <si>
    <t xml:space="preserve">$ / t</t>
  </si>
  <si>
    <t xml:space="preserve">Faraz: yog'-moy kombinatlari va HoReCa'dan kelishuv narxi — KP bilan tasdiqlash kerak</t>
  </si>
  <si>
    <t xml:space="preserve">Ozuqa tuzlari (N, P, mikroelementlar)</t>
  </si>
  <si>
    <t xml:space="preserve">$ / t PHA</t>
  </si>
  <si>
    <t xml:space="preserve">Faraz (ammoniy sulfat, KH2PO4, MgSO4, iz elementlar)</t>
  </si>
  <si>
    <t xml:space="preserve">Ajratish kimyoviy moddalari (NaOH, SDS/NaClO)</t>
  </si>
  <si>
    <t xml:space="preserve">Faraz; erituvchisiz ajratish usuli</t>
  </si>
  <si>
    <t xml:space="preserve">Elektr sarfi</t>
  </si>
  <si>
    <t xml:space="preserve">kWh / t PHA</t>
  </si>
  <si>
    <t xml:space="preserve">Aeratsiya, aralashtirish, separator, quritish — kichik masshtab</t>
  </si>
  <si>
    <t xml:space="preserve">Gaz sarfi (bug' qozoni)</t>
  </si>
  <si>
    <t xml:space="preserve">m³ / t PHA</t>
  </si>
  <si>
    <t xml:space="preserve">~25 t bug' / t PHA, 75 m³ gaz / t bug'</t>
  </si>
  <si>
    <t xml:space="preserve">Suv va oqova suv</t>
  </si>
  <si>
    <t xml:space="preserve">Faraz</t>
  </si>
  <si>
    <t xml:space="preserve">Qadoqlash (25 kg qop)</t>
  </si>
  <si>
    <t xml:space="preserve">Kompost bo'ladigan plyonka / paket (PBAT + PLA + PHA)</t>
  </si>
  <si>
    <t xml:space="preserve">PBAT narxi (O'zbekistonga yetkazilgan)</t>
  </si>
  <si>
    <t xml:space="preserve">Xitoy: 9 850 yuan/t (CICC, 21.09.2025) + logistika va bojxona</t>
  </si>
  <si>
    <t xml:space="preserve">PLA narxi (yetkazilgan)</t>
  </si>
  <si>
    <t xml:space="preserve">Xitoy: 2 010–2 520 $/t (Intratec, 2025) + logistika</t>
  </si>
  <si>
    <t xml:space="preserve">Qo'shimchalar (CaCO3, kompatibilizator, masterbatch)</t>
  </si>
  <si>
    <t xml:space="preserve">Qo'shimchalar ulushi</t>
  </si>
  <si>
    <t xml:space="preserve">Retsept</t>
  </si>
  <si>
    <t xml:space="preserve">PBAT : (PBAT+PLA) nisbati</t>
  </si>
  <si>
    <t xml:space="preserve">Retsept — qolgani PLA</t>
  </si>
  <si>
    <t xml:space="preserve">Ishlab chiqarish chiqindisi (yo'qotish)</t>
  </si>
  <si>
    <t xml:space="preserve">Qisman qayta ishlatiladi</t>
  </si>
  <si>
    <t xml:space="preserve">Elektr sarfi (kompaund + plyonka + paket)</t>
  </si>
  <si>
    <t xml:space="preserve">kWh / t</t>
  </si>
  <si>
    <t xml:space="preserve">Qadoqlash, bo'yoq</t>
  </si>
  <si>
    <t xml:space="preserve">Sotish narxlari (QQSsiz, zavoddan)</t>
  </si>
  <si>
    <t xml:space="preserve">Kompost bo'ladigan paket/plyonka narxi</t>
  </si>
  <si>
    <t xml:space="preserve">Polietilen paketdan ~2 baravar qimmat; import analoglaridan arzon</t>
  </si>
  <si>
    <t xml:space="preserve">Toza PHA granula narxi</t>
  </si>
  <si>
    <t xml:space="preserve">IMARC: 3 443–3 712 $/t (12.2025); Mordor: 4 000–15 000 $/t</t>
  </si>
  <si>
    <t xml:space="preserve">Sotish va logistika xarajati</t>
  </si>
  <si>
    <t xml:space="preserve">% daromaddan</t>
  </si>
  <si>
    <t xml:space="preserve">Doimiy xarajatlar</t>
  </si>
  <si>
    <t xml:space="preserve">Ishlab chiqarish maydoni</t>
  </si>
  <si>
    <t xml:space="preserve">m²</t>
  </si>
  <si>
    <t xml:space="preserve">Toshkent viloyati sanoat zonasi</t>
  </si>
  <si>
    <t xml:space="preserve">Ijara narxi</t>
  </si>
  <si>
    <t xml:space="preserve">$ / m² / oy</t>
  </si>
  <si>
    <t xml:space="preserve">Faraz — mahalliy taklif bilan tasdiqlash</t>
  </si>
  <si>
    <t xml:space="preserve">Ta'mirlash va ehtiyot qismlar</t>
  </si>
  <si>
    <t xml:space="preserve">% uskuna qiymatidan / yil</t>
  </si>
  <si>
    <t xml:space="preserve">Marketing (doimiy qism)</t>
  </si>
  <si>
    <t xml:space="preserve">$ / yil</t>
  </si>
  <si>
    <t xml:space="preserve">Ko'rgazmalar, sertifikat markirovkasi, raqamli marketing</t>
  </si>
  <si>
    <t xml:space="preserve">Ma'muriy, sug'urta, IT</t>
  </si>
  <si>
    <t xml:space="preserve">Sertifikatni yangilash, laboratoriya sinovlari</t>
  </si>
  <si>
    <t xml:space="preserve">TÜV AUSTRIA / DIN CERTCO audit</t>
  </si>
  <si>
    <t xml:space="preserve">Ilmiy-tadqiqot (shtamm, retsept)</t>
  </si>
  <si>
    <t xml:space="preserve">TKTI bilan hamkorlik</t>
  </si>
  <si>
    <t xml:space="preserve">Kommunal (yoritish, isitish)</t>
  </si>
  <si>
    <t xml:space="preserve">Kapital va moliyalashtirish</t>
  </si>
  <si>
    <t xml:space="preserve">Uskunalarning foydali xizmat muddati</t>
  </si>
  <si>
    <t xml:space="preserve">yil</t>
  </si>
  <si>
    <t xml:space="preserve">To'g'ri chiziqli amortizatsiya</t>
  </si>
  <si>
    <t xml:space="preserve">Aylanma kapital</t>
  </si>
  <si>
    <t xml:space="preserve">% daromad o'sishidan</t>
  </si>
  <si>
    <t xml:space="preserve">Zaxira + debitorlar - kreditorlar</t>
  </si>
  <si>
    <t xml:space="preserve">Bank krediti ulushi (CAPEXdan)</t>
  </si>
  <si>
    <t xml:space="preserve">Masalan: Biznesni rivojlantirish banki, Sanoatqurilishbank</t>
  </si>
  <si>
    <t xml:space="preserve">Kredit foizi (USD)</t>
  </si>
  <si>
    <t xml:space="preserve">% / yil</t>
  </si>
  <si>
    <t xml:space="preserve">Faraz; aniq stavka bankdan olinadi</t>
  </si>
  <si>
    <t xml:space="preserve">Grant (0-yil)</t>
  </si>
  <si>
    <t xml:space="preserve">$</t>
  </si>
  <si>
    <t xml:space="preserve">Innovatsion grant — tasdiqlanmagan, faraz</t>
  </si>
  <si>
    <t xml:space="preserve">Hosilaviy qiymatlar</t>
  </si>
  <si>
    <t xml:space="preserve">Elektr narxi</t>
  </si>
  <si>
    <t xml:space="preserve">$ / kWh</t>
  </si>
  <si>
    <t xml:space="preserve">Gaz narxi</t>
  </si>
  <si>
    <t xml:space="preserve">$ / m³</t>
  </si>
  <si>
    <t xml:space="preserve">Kapital xarajatlar (CAPEX) — uskunalar va yetkazib beruvchilar</t>
  </si>
  <si>
    <t xml:space="preserve">Narxlar — 2025–2026 yillardagi ochiq bozor e'lonlari va ishlab chiqaruvchi narx diapazonlari asosidagi taxmin. Sotib olishdan oldin kamida 3 ta tijorat taklifi (KP) olinishi shart.</t>
  </si>
  <si>
    <t xml:space="preserve">№</t>
  </si>
  <si>
    <t xml:space="preserve">Uskuna / xarajat</t>
  </si>
  <si>
    <t xml:space="preserve">Faza</t>
  </si>
  <si>
    <t xml:space="preserve">Turi (U=uskuna, B=boshqa)</t>
  </si>
  <si>
    <t xml:space="preserve">Soni</t>
  </si>
  <si>
    <t xml:space="preserve">Narx ($)</t>
  </si>
  <si>
    <t xml:space="preserve">Jami ($)</t>
  </si>
  <si>
    <t xml:space="preserve">Yetkazib beruvchilar (misol)</t>
  </si>
  <si>
    <t xml:space="preserve">Stol usti bioreaktor 5 L (pH, DO, harorat nazorati)</t>
  </si>
  <si>
    <t xml:space="preserve">U</t>
  </si>
  <si>
    <t xml:space="preserve">Sartorius BIOSTAT A; Eppendorf BioFlo 120; Bailun BLBIO-5GJ</t>
  </si>
  <si>
    <t xml:space="preserve">Avtoklav 75 L</t>
  </si>
  <si>
    <t xml:space="preserve">Tuttnauer; Systec; Xitoy: Zealway</t>
  </si>
  <si>
    <t xml:space="preserve">Chayqatuvchi inkubator (shaker)</t>
  </si>
  <si>
    <t xml:space="preserve">Eppendorf Innova; Infors HT; Zhicheng</t>
  </si>
  <si>
    <t xml:space="preserve">Laminar boks (II klass)</t>
  </si>
  <si>
    <t xml:space="preserve">Esco; Thermo Fisher; Biobase</t>
  </si>
  <si>
    <t xml:space="preserve">Laboratoriya sentrifugasi</t>
  </si>
  <si>
    <t xml:space="preserve">Eppendorf; Hettich; Hunan Xiangyi</t>
  </si>
  <si>
    <t xml:space="preserve">Mikroskop (fazali kontrast)</t>
  </si>
  <si>
    <t xml:space="preserve">Olympus/Evident; Zeiss; Optika</t>
  </si>
  <si>
    <t xml:space="preserve">Spektrofotometr UV-Vis (OD600)</t>
  </si>
  <si>
    <t xml:space="preserve">Shimadzu; Thermo; Biobase</t>
  </si>
  <si>
    <t xml:space="preserve">Gaz xromatograf GC-FID (PHA miqdori)</t>
  </si>
  <si>
    <t xml:space="preserve">Agilent 8860; Shimadzu GC-2030; Fuli</t>
  </si>
  <si>
    <t xml:space="preserve">Quritish shkafi, analitik tarozi, pH-metr</t>
  </si>
  <si>
    <t xml:space="preserve">Memmert; Ohaus; Mettler Toledo</t>
  </si>
  <si>
    <t xml:space="preserve">Erish oqimi indeksi (MFI) asbobi</t>
  </si>
  <si>
    <t xml:space="preserve">Instron/CEAST; Xitoy: Chengde</t>
  </si>
  <si>
    <t xml:space="preserve">Universal cho'zilish sinov mashinasi</t>
  </si>
  <si>
    <t xml:space="preserve">Instron; Zwick; WANCE</t>
  </si>
  <si>
    <t xml:space="preserve">Pilot fermenter 300 L + urug' 30 L</t>
  </si>
  <si>
    <t xml:space="preserve">Bailun (BLBIO); T&amp;J Bio-engineering; Zhengzhou Laboao</t>
  </si>
  <si>
    <t xml:space="preserve">Pilot ajratish: quvurli sentrifuga + vakuum quritgich</t>
  </si>
  <si>
    <t xml:space="preserve">Liaoyang Shenzhou; Labfreez</t>
  </si>
  <si>
    <t xml:space="preserve">Ikki shnekli kompaundlash ekstruderi 65 mm (150–250 kg/soat) + granulyator</t>
  </si>
  <si>
    <t xml:space="preserve">Coperion ZSK; Nanjing Kerke; Nanjing Haisi</t>
  </si>
  <si>
    <t xml:space="preserve">Biodegradable plyonka puflash liniyasi №1 (65 mm, ABA, ~90 kg/soat)</t>
  </si>
  <si>
    <t xml:space="preserve">Ruian Ruipai; Wenzhou Ruida; Hosokawa Alpine (Yevropa)</t>
  </si>
  <si>
    <t xml:space="preserve">Paket tayyorlash mashinasi (mayka-paket, rulondagi qop)</t>
  </si>
  <si>
    <t xml:space="preserve">Ruian Xinye; Ruian Kingdom</t>
  </si>
  <si>
    <t xml:space="preserve">Fleksografik bosma mashina (2 rang)</t>
  </si>
  <si>
    <t xml:space="preserve">Ruian Changhong; Ruian Ruiting</t>
  </si>
  <si>
    <t xml:space="preserve">Elektr tarmog'i va siqilgan havo (1-faza)</t>
  </si>
  <si>
    <t xml:space="preserve">Mahalliy pudratchi</t>
  </si>
  <si>
    <t xml:space="preserve">Binoni ta'mirlash, toza xona, ventilyatsiya</t>
  </si>
  <si>
    <t xml:space="preserve">B</t>
  </si>
  <si>
    <t xml:space="preserve">Mahalliy qurilish pudratchisi</t>
  </si>
  <si>
    <t xml:space="preserve">Xalqaro sertifikatlash (OK compost INDUSTRIAL/HOME, OK biodegradable SOIL)</t>
  </si>
  <si>
    <t xml:space="preserve">TÜV AUSTRIA; DIN CERTCO</t>
  </si>
  <si>
    <t xml:space="preserve">Milliy sertifikat, sanitariya-gigiyena xulosasi</t>
  </si>
  <si>
    <t xml:space="preserve">O'zstandart agentligi; SES</t>
  </si>
  <si>
    <t xml:space="preserve">Loyihalash, ruxsatnomalar, ekologik ekspertiza</t>
  </si>
  <si>
    <t xml:space="preserve">Loyiha instituti; Ekologiya vazirligi</t>
  </si>
  <si>
    <t xml:space="preserve">Urug' fermenteri 1 m³</t>
  </si>
  <si>
    <t xml:space="preserve">Bailun; T&amp;J; Laboao</t>
  </si>
  <si>
    <t xml:space="preserve">Asosiy fermenter 10 m³ (SIP/CIP, avtomatika)</t>
  </si>
  <si>
    <t xml:space="preserve">Bailun; T&amp;J; Jiangsu Zhongtai; Yevropa: Bioengineering AG</t>
  </si>
  <si>
    <t xml:space="preserve">Muhit tayyorlash, oziqlantirish idishlari, sterilizator</t>
  </si>
  <si>
    <t xml:space="preserve">Wenzhou Ace; Mahalliy</t>
  </si>
  <si>
    <t xml:space="preserve">Havo puflagich + steril filtrlar</t>
  </si>
  <si>
    <t xml:space="preserve">Atlas Copco ZS; Kaeser; Pall/Donaldson filtrlari</t>
  </si>
  <si>
    <t xml:space="preserve">Bug' qozoni 1 t/soat (gaz)</t>
  </si>
  <si>
    <t xml:space="preserve">Bosch Industriekessel; Xitoy: ZOZEN; Mahalliy</t>
  </si>
  <si>
    <t xml:space="preserve">Sovutish minorasi + chiller</t>
  </si>
  <si>
    <t xml:space="preserve">Mahalliy; Xitoy</t>
  </si>
  <si>
    <t xml:space="preserve">Suv tayyorlash (teskari osmos)</t>
  </si>
  <si>
    <t xml:space="preserve">Disk separatori (biomassa ajratish)</t>
  </si>
  <si>
    <t xml:space="preserve">Alfa Laval; GEA; Xitoy: Nanjing Huasheng</t>
  </si>
  <si>
    <t xml:space="preserve">Hujayrani parchalash/yuvish reaktorlari</t>
  </si>
  <si>
    <t xml:space="preserve">Yuvish uchun 2-separator</t>
  </si>
  <si>
    <t xml:space="preserve">Alfa Laval; GEA; Nanjing Huasheng</t>
  </si>
  <si>
    <t xml:space="preserve">Purkab quritgich (50 kg/soat bug'lanish)</t>
  </si>
  <si>
    <t xml:space="preserve">GEA Niro; Changzhou Lemar; Changzhou Yibu</t>
  </si>
  <si>
    <t xml:space="preserve">Biodegradable plyonka puflash liniyasi №2 (65 mm, ~90 kg/soat)</t>
  </si>
  <si>
    <t xml:space="preserve">Ruian Ruipai; Wenzhou Ruida</t>
  </si>
  <si>
    <t xml:space="preserve">Oqova suvni dastlabki tozalash</t>
  </si>
  <si>
    <t xml:space="preserve">PLC/SCADA avtomatlashtirish</t>
  </si>
  <si>
    <t xml:space="preserve">Siemens; Schneider Electric; Delta</t>
  </si>
  <si>
    <t xml:space="preserve">Jamlanma</t>
  </si>
  <si>
    <t xml:space="preserve">1-faza ($)</t>
  </si>
  <si>
    <t xml:space="preserve">2-faza ($)</t>
  </si>
  <si>
    <t xml:space="preserve">Uskunalar</t>
  </si>
  <si>
    <t xml:space="preserve">Yetkazish, bojxona rasmiylashtiruvi</t>
  </si>
  <si>
    <t xml:space="preserve">Montaj, quvurlar, elektr ulanish</t>
  </si>
  <si>
    <t xml:space="preserve">Boshqa (bino, sertifikat, loyihalash)</t>
  </si>
  <si>
    <t xml:space="preserve">Oraliq jami</t>
  </si>
  <si>
    <t xml:space="preserve">Kutilmagan xarajatlar</t>
  </si>
  <si>
    <t xml:space="preserve">JAMI CAPEX</t>
  </si>
  <si>
    <t xml:space="preserve">Yetkazish va bojxona stavkasi (uskunadan)</t>
  </si>
  <si>
    <t xml:space="preserve">Texnologik uskunalar uchun boj imtiyozlari bo'lishi mumkin — konservativ hisob</t>
  </si>
  <si>
    <t xml:space="preserve">Montaj stavkasi (uskunadan)</t>
  </si>
  <si>
    <t xml:space="preserve">Kutilmagan xarajatlar stavkasi</t>
  </si>
  <si>
    <t xml:space="preserve">Xodimlar va ish haqi fondi</t>
  </si>
  <si>
    <t xml:space="preserve">Lavozim</t>
  </si>
  <si>
    <t xml:space="preserve">1-yil soni</t>
  </si>
  <si>
    <t xml:space="preserve">2-yildan soni</t>
  </si>
  <si>
    <t xml:space="preserve">Oylik ish haqi ($, brutto)</t>
  </si>
  <si>
    <t xml:space="preserve">1-yil fondi ($)</t>
  </si>
  <si>
    <t xml:space="preserve">2-yildan fondi ($)</t>
  </si>
  <si>
    <t xml:space="preserve">Izoh</t>
  </si>
  <si>
    <t xml:space="preserve">Direktor</t>
  </si>
  <si>
    <t xml:space="preserve">Bosh texnolog-mikrobiolog</t>
  </si>
  <si>
    <t xml:space="preserve">Biotexnologiya magistri; TKTI bitiruvchisi</t>
  </si>
  <si>
    <t xml:space="preserve">Mikrobiolog / laborant</t>
  </si>
  <si>
    <t xml:space="preserve">Shtamm saqlash, sifat tahlili, GC</t>
  </si>
  <si>
    <t xml:space="preserve">Fermentatsiya va ajratish operatori</t>
  </si>
  <si>
    <t xml:space="preserve">24/7, 4 smena × 2 kishi</t>
  </si>
  <si>
    <t xml:space="preserve">Ekstruziya va plyonka operatori</t>
  </si>
  <si>
    <t xml:space="preserve">3 smena</t>
  </si>
  <si>
    <t xml:space="preserve">Paket kesish va qadoqlash ishchisi</t>
  </si>
  <si>
    <t xml:space="preserve">Mexanik-elektrik (KIP)</t>
  </si>
  <si>
    <t xml:space="preserve">Sifat nazorati muhandisi</t>
  </si>
  <si>
    <t xml:space="preserve">ISO 9001 tizimi</t>
  </si>
  <si>
    <t xml:space="preserve">Savdo va marketing menejeri</t>
  </si>
  <si>
    <t xml:space="preserve">B2B savdo, eksport</t>
  </si>
  <si>
    <t xml:space="preserve">Bosh hisobchi</t>
  </si>
  <si>
    <t xml:space="preserve">Omborchi-logist</t>
  </si>
  <si>
    <t xml:space="preserve">Jami</t>
  </si>
  <si>
    <t xml:space="preserve">Ijtimoiy soliq bilan jami fond</t>
  </si>
  <si>
    <t xml:space="preserve">Ma'lumot uchun: O'zbekistonda o'rtacha oylik ish haqi 2026-yil I chorakda 6,8 mln so'm (~$570) — stat.uz / kun.uz.</t>
  </si>
  <si>
    <t xml:space="preserve">1 tonna mahsulotning o'zgaruvchan tannarxi</t>
  </si>
  <si>
    <t xml:space="preserve">Xarajat moddasi</t>
  </si>
  <si>
    <t xml:space="preserve">Hisob</t>
  </si>
  <si>
    <t xml:space="preserve">Ulush</t>
  </si>
  <si>
    <t xml:space="preserve">A) Toza PHA granula (1 t)</t>
  </si>
  <si>
    <t xml:space="preserve">Yog' xomashyosi</t>
  </si>
  <si>
    <t xml:space="preserve">1/chiqish × narx</t>
  </si>
  <si>
    <t xml:space="preserve">Ozuqa tuzlari</t>
  </si>
  <si>
    <t xml:space="preserve">Ajratish kimyoviy moddalari</t>
  </si>
  <si>
    <t xml:space="preserve">Elektr energiya</t>
  </si>
  <si>
    <t xml:space="preserve">kWh × tarif</t>
  </si>
  <si>
    <t xml:space="preserve">Tabiiy gaz (bug')</t>
  </si>
  <si>
    <t xml:space="preserve">m³ × tarif</t>
  </si>
  <si>
    <t xml:space="preserve">Suv va oqova</t>
  </si>
  <si>
    <t xml:space="preserve">Qadoqlash</t>
  </si>
  <si>
    <t xml:space="preserve">PHA o'zgaruvchan tannarxi</t>
  </si>
  <si>
    <t xml:space="preserve">B) Kompost bo'ladigan paket/plyonka (1 t, PHA ulushi 6,5% bo'lganda)</t>
  </si>
  <si>
    <t xml:space="preserve">Namuna retseptdagi PHA ulushi</t>
  </si>
  <si>
    <t xml:space="preserve">PBAT</t>
  </si>
  <si>
    <t xml:space="preserve">ulush × narx × (1+yo'qotish)</t>
  </si>
  <si>
    <t xml:space="preserve">PLA</t>
  </si>
  <si>
    <t xml:space="preserve">Qo'shimchalar</t>
  </si>
  <si>
    <t xml:space="preserve">PHA (ichki tannarxda)</t>
  </si>
  <si>
    <t xml:space="preserve">Paket/plyonka o'zgaruvchan tannarxi</t>
  </si>
  <si>
    <t xml:space="preserve">Sotish narxi</t>
  </si>
  <si>
    <t xml:space="preserve">Marjinal foyda (sotish xarajatidan oldin)</t>
  </si>
  <si>
    <t xml:space="preserve">Daromad, xarajat, foyda va pul oqimi prognozi ($)</t>
  </si>
  <si>
    <t xml:space="preserve">2027
(0-yil)</t>
  </si>
  <si>
    <t xml:space="preserve">2028
(1-yil)</t>
  </si>
  <si>
    <t xml:space="preserve">2029
(2-yil)</t>
  </si>
  <si>
    <t xml:space="preserve">2030
(3-yil)</t>
  </si>
  <si>
    <t xml:space="preserve">2031
(4-yil)</t>
  </si>
  <si>
    <t xml:space="preserve">2032
(5-yil)</t>
  </si>
  <si>
    <t xml:space="preserve">2033
(6-yil)</t>
  </si>
  <si>
    <t xml:space="preserve">2034
(7-yil)</t>
  </si>
  <si>
    <t xml:space="preserve">Ishlab chiqarish hajmi</t>
  </si>
  <si>
    <t xml:space="preserve">Paket/plyonka ishlab chiqarish (t)</t>
  </si>
  <si>
    <t xml:space="preserve">2 ta liniya × 90 kg/soat × 6 000 soat = 1 080 t maks. quvvat; barqaror yilda 79% yuklanish</t>
  </si>
  <si>
    <t xml:space="preserve">PHA ishlab chiqarish (t)</t>
  </si>
  <si>
    <t xml:space="preserve">2027–28: 300 L pilot; 2029 o'rtasidan 2×10 m³ (≈160 partiya/yil × 0,36 t)</t>
  </si>
  <si>
    <t xml:space="preserve">PHA ulushi aralashmada</t>
  </si>
  <si>
    <t xml:space="preserve">Standart paketda 6,5% PHA; premium (uyda kompost) liniyada ulush yuqori</t>
  </si>
  <si>
    <t xml:space="preserve">PHA ichki ishlatish (t)</t>
  </si>
  <si>
    <t xml:space="preserve">PHA sotish (t)</t>
  </si>
  <si>
    <t xml:space="preserve">Ichki ehtiyojdan ortiqcha qism sotiladi</t>
  </si>
  <si>
    <t xml:space="preserve">PHA yetishmovchiligi — sotib olinadi (t)</t>
  </si>
  <si>
    <t xml:space="preserve">Daromad</t>
  </si>
  <si>
    <t xml:space="preserve">Paket/plyonka sotuvi</t>
  </si>
  <si>
    <t xml:space="preserve">Toza PHA sotuvi</t>
  </si>
  <si>
    <t xml:space="preserve">JAMI DAROMAD</t>
  </si>
  <si>
    <t xml:space="preserve">O'zgaruvchan xarajatlar</t>
  </si>
  <si>
    <t xml:space="preserve">Plyonka xomashyosi va energiya (PHA'siz)</t>
  </si>
  <si>
    <t xml:space="preserve">PHA ishlab chiqarish xarajati</t>
  </si>
  <si>
    <t xml:space="preserve">Sotib olingan PHA</t>
  </si>
  <si>
    <t xml:space="preserve">Sotish va logistika</t>
  </si>
  <si>
    <t xml:space="preserve">Jami o'zgaruvchan xarajat</t>
  </si>
  <si>
    <t xml:space="preserve">MARJINAL FOYDA</t>
  </si>
  <si>
    <t xml:space="preserve">Faoliyat koeffitsienti</t>
  </si>
  <si>
    <t xml:space="preserve">0-yil: qurilish va ilmiy ish davri — xarajatlar 50%</t>
  </si>
  <si>
    <t xml:space="preserve">Ish haqi + ijtimoiy soliq</t>
  </si>
  <si>
    <t xml:space="preserve">Ijara</t>
  </si>
  <si>
    <t xml:space="preserve">Ta'mirlash</t>
  </si>
  <si>
    <t xml:space="preserve">Marketing, ma'muriy, sertifikat, ITI, kommunal</t>
  </si>
  <si>
    <t xml:space="preserve">Jami doimiy xarajat</t>
  </si>
  <si>
    <t xml:space="preserve">Foyda</t>
  </si>
  <si>
    <t xml:space="preserve">EBITDA</t>
  </si>
  <si>
    <t xml:space="preserve">EBITDA rentabelligi</t>
  </si>
  <si>
    <t xml:space="preserve">Amortizatsiya</t>
  </si>
  <si>
    <t xml:space="preserve">Foiz va soliqqacha foyda (EBIT)</t>
  </si>
  <si>
    <t xml:space="preserve">Kredit foizi</t>
  </si>
  <si>
    <t xml:space="preserve">Soliqqacha foyda</t>
  </si>
  <si>
    <t xml:space="preserve">Soddalashtirish: zarar keyingi yillarga o'tkazilmaydi (konservativ)</t>
  </si>
  <si>
    <t xml:space="preserve">SOF FOYDA</t>
  </si>
  <si>
    <t xml:space="preserve">Loyiha pul oqimi (moliyalashtirishsiz)</t>
  </si>
  <si>
    <t xml:space="preserve">Kapital xarajatlar</t>
  </si>
  <si>
    <t xml:space="preserve">Aylanma kapital o'zgarishi</t>
  </si>
  <si>
    <t xml:space="preserve">Soliq (moliyalashtirishsiz)</t>
  </si>
  <si>
    <t xml:space="preserve">ERKIN PUL OQIMI (FCF)</t>
  </si>
  <si>
    <t xml:space="preserve">Kumulyativ FCF</t>
  </si>
  <si>
    <t xml:space="preserve">Diskontlangan FCF</t>
  </si>
  <si>
    <t xml:space="preserve">Moliyalashtirish</t>
  </si>
  <si>
    <t xml:space="preserve">Kredit olish</t>
  </si>
  <si>
    <t xml:space="preserve">Kredit asosiy qarzini qaytarish</t>
  </si>
  <si>
    <t xml:space="preserve">1,5 yil imtiyozli davr, 5 yilda teng qismlarda</t>
  </si>
  <si>
    <t xml:space="preserve">Kredit qoldig'i (yil oxiri)</t>
  </si>
  <si>
    <t xml:space="preserve">Grant</t>
  </si>
  <si>
    <t xml:space="preserve">Aylanma mablag' uchun qo'shimcha kapital</t>
  </si>
  <si>
    <t xml:space="preserve">Ishga tushirish davridagi zararni va aylanma kapitalni qoplash uchun</t>
  </si>
  <si>
    <t xml:space="preserve">Ta'sischi / investor ulushi (jami)</t>
  </si>
  <si>
    <t xml:space="preserve">CAPEXning kredit va grantdan tashqari qismi + qo'shimcha kapital</t>
  </si>
  <si>
    <t xml:space="preserve">Sof pul oqimi (moliyalashtirish bilan)</t>
  </si>
  <si>
    <t xml:space="preserve">Kassa qoldig'i (yil oxiri)</t>
  </si>
  <si>
    <t xml:space="preserve">Qarzni qoplash koeffitsienti (DSCR)</t>
  </si>
  <si>
    <t xml:space="preserve">Banklar odatda ≥1,2x talab qiladi</t>
  </si>
  <si>
    <t xml:space="preserve">Investitsiya samaradorligi</t>
  </si>
  <si>
    <t xml:space="preserve">Jami investitsiya (CAPEX)</t>
  </si>
  <si>
    <t xml:space="preserve">NPV (sof joriy qiymat, 7 yil, qoldiq qiymatsiz)</t>
  </si>
  <si>
    <t xml:space="preserve">IRR (ichki daromadlilik me'yori, 7 yil)</t>
  </si>
  <si>
    <t xml:space="preserve">Qoldiq qiymat (7-yil FCF × 5)</t>
  </si>
  <si>
    <t xml:space="preserve">NPV qoldiq qiymat bilan</t>
  </si>
  <si>
    <t xml:space="preserve">Oddiy qoplanish muddati (yil, 0-yildan)</t>
  </si>
  <si>
    <t xml:space="preserve">Zararsizlik nuqtasi — plyonka hajmi (t/yil, 4-yil xarajatlari bo'yicha)</t>
  </si>
  <si>
    <t xml:space="preserve">Ichki PHA tannarxi va PHA sotuvi doimiy deb olingan</t>
  </si>
  <si>
    <t xml:space="preserve">Sezgirlik tahlili — 4-yil (2031) EBITDA, $</t>
  </si>
  <si>
    <t xml:space="preserve">Satrlar: paket narxi o'zgarishi; ustunlar: PBAT narxi o'zgarishi. Boshqa barcha omillar o'zgarmas.</t>
  </si>
  <si>
    <t xml:space="preserve">Paket narxi \ PBAT narxi</t>
  </si>
  <si>
    <t xml:space="preserve">Asosiy xulosa: rentabellik eng ko'p sotish narxiga, keyin PBAT narxiga bog'liq.</t>
  </si>
  <si>
    <t xml:space="preserve">Dastlabki taqdimotdagi raqamlar va tuzatilgan qiymatlar</t>
  </si>
  <si>
    <t xml:space="preserve">Dastlabki taqdimot</t>
  </si>
  <si>
    <t xml:space="preserve">Tuzatilgan (model)</t>
  </si>
  <si>
    <t xml:space="preserve">Nima uchun o'zgardi</t>
  </si>
  <si>
    <t xml:space="preserve">1 t plastik sotish narxi</t>
  </si>
  <si>
    <t xml:space="preserve">250 $/t polietilendan (≈1 200 $/t) ham 5 baravar arzon. PHA bozor narxi 3 400–3 700 $/t (IMARC, 2025), kompost bo'ladigan paket ≈3 900 $/t.</t>
  </si>
  <si>
    <t xml:space="preserve">1 t tannarx</t>
  </si>
  <si>
    <t xml:space="preserve">Faqat yog' xomashyosining o'zi ≈900 $/t PHA (1,8 t yog' kerak). Elektr, gaz, kimyoviy moddalar, PBAT/PLA qo'shilgan.</t>
  </si>
  <si>
    <t xml:space="preserve">1 t xomashyo xarajati</t>
  </si>
  <si>
    <t xml:space="preserve">1 t PHA uchun ~1,8 t uglerod manbai kerak; 50 $ jismonan mumkin emas.</t>
  </si>
  <si>
    <t xml:space="preserve">Oylik ishlab chiqarish (t, barqaror yil)</t>
  </si>
  <si>
    <t xml:space="preserve">25 000 $ lik uskuna bilan oyiga 50 t PHA olish mumkin emas (≈ 600 m³ fermenter kerak). Yangi model: oyiga ~71 t tayyor paket/plyonka va ~4,8 t PHA.</t>
  </si>
  <si>
    <t xml:space="preserve">Jami boshlang'ich investitsiya ($)</t>
  </si>
  <si>
    <t xml:space="preserve">Real narxlar: 10 m³ fermenter ≈ 50–90 ming $, separator ≈ 70 ming $, ekstruder ≈ 85 ming $.</t>
  </si>
  <si>
    <t xml:space="preserve">Yillik foyda ($)</t>
  </si>
  <si>
    <t xml:space="preserve">Barqaror yil (2031) sof foydasi, soliq va kredit foizi bilan.</t>
  </si>
  <si>
    <t xml:space="preserve">Investitsiya qaytimi</t>
  </si>
  <si>
    <t xml:space="preserve">8 oy</t>
  </si>
  <si>
    <t xml:space="preserve">Kimyo-biotexnologiya korxonasi uchun 4–6 yil — sanoat uchun odatiy.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</si>
</sst>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;&quot;($&quot;#,##0\);\-"/>
    <numFmt numFmtId="166" formatCode="#,##0;\(#,##0\);\-"/>
    <numFmt numFmtId="167" formatCode="0.0%;\(0.0%\);\-"/>
    <numFmt numFmtId="168" formatCode="\$#,##0.00;&quot;($&quot;#,##0.00\);\-"/>
    <numFmt numFmtId="169" formatCode="\$0.0000"/>
    <numFmt numFmtId="170" formatCode="#,##0.0;\(#,##0.0\);\-"/>
    <numFmt numFmtId="171" formatCode="0.00"/>
    <numFmt numFmtId="172" formatCode="0.00\x"/>
    <numFmt numFmtId="173" formatCode="0.0"/>
    <numFmt numFmtId="174" formatCode="\+0%;\-0%;0%"/>
    <numFmt numFmtId="175" formatCode="0.0&quot; yil&quot;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555555"/>
      <name val="Arial"/>
      <family val="0"/>
      <charset val="1"/>
    </font>
    <font>
      <i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B3D5C"/>
        <bgColor rgb="FF333333"/>
      </patternFill>
    </fill>
    <fill>
      <patternFill patternType="solid">
        <fgColor rgb="FF1F6F5C"/>
        <bgColor rgb="FF008080"/>
      </patternFill>
    </fill>
    <fill>
      <patternFill patternType="solid">
        <fgColor rgb="FFE3EEF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E3EE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4CC"/>
      </left>
      <right style="thin">
        <color rgb="FFB7C4CC"/>
      </right>
      <top style="thin">
        <color rgb="FFB7C4CC"/>
      </top>
      <bottom style="thin">
        <color rgb="FFB7C4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5C"/>
      <rgbColor rgb="FFB7C4CC"/>
      <rgbColor rgb="FF808080"/>
      <rgbColor rgb="FF9999FF"/>
      <rgbColor rgb="FF993366"/>
      <rgbColor rgb="FFFFFFCC"/>
      <rgbColor rgb="FFE3EE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B3D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70"/>
  </cols>
  <sheetData>
    <row r="1" customFormat="false" ht="24" hidden="false" customHeight="tru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3" t="s">
        <v>1</v>
      </c>
      <c r="B2" s="3"/>
      <c r="C2" s="3"/>
      <c r="D2" s="3"/>
    </row>
    <row r="3" customFormat="false" ht="15" hidden="false" customHeight="false" outlineLevel="0" collapsed="false">
      <c r="A3" s="4" t="s">
        <v>2</v>
      </c>
      <c r="B3" s="4" t="s">
        <v>3</v>
      </c>
      <c r="C3" s="4" t="s">
        <v>4</v>
      </c>
      <c r="D3" s="4" t="s">
        <v>5</v>
      </c>
    </row>
    <row r="4" customFormat="false" ht="15" hidden="false" customHeight="false" outlineLevel="0" collapsed="false">
      <c r="A4" s="5" t="s">
        <v>6</v>
      </c>
      <c r="B4" s="6"/>
      <c r="C4" s="6"/>
      <c r="D4" s="6"/>
    </row>
    <row r="5" customFormat="false" ht="15" hidden="false" customHeight="false" outlineLevel="0" collapsed="false">
      <c r="A5" s="7" t="s">
        <v>7</v>
      </c>
      <c r="B5" s="8" t="n">
        <v>12000</v>
      </c>
      <c r="C5" s="7" t="s">
        <v>8</v>
      </c>
      <c r="D5" s="9" t="s">
        <v>9</v>
      </c>
    </row>
    <row r="6" customFormat="false" ht="15" hidden="false" customHeight="false" outlineLevel="0" collapsed="false">
      <c r="A6" s="7" t="s">
        <v>10</v>
      </c>
      <c r="B6" s="10" t="n">
        <v>1100</v>
      </c>
      <c r="C6" s="7" t="s">
        <v>11</v>
      </c>
      <c r="D6" s="9" t="s">
        <v>12</v>
      </c>
    </row>
    <row r="7" customFormat="false" ht="15" hidden="false" customHeight="false" outlineLevel="0" collapsed="false">
      <c r="A7" s="7" t="s">
        <v>13</v>
      </c>
      <c r="B7" s="10" t="n">
        <v>2000</v>
      </c>
      <c r="C7" s="7" t="s">
        <v>14</v>
      </c>
      <c r="D7" s="9" t="s">
        <v>15</v>
      </c>
    </row>
    <row r="8" customFormat="false" ht="15" hidden="false" customHeight="false" outlineLevel="0" collapsed="false">
      <c r="A8" s="7" t="s">
        <v>16</v>
      </c>
      <c r="B8" s="11" t="n">
        <v>0.15</v>
      </c>
      <c r="C8" s="7" t="s">
        <v>17</v>
      </c>
      <c r="D8" s="9" t="s">
        <v>18</v>
      </c>
    </row>
    <row r="9" customFormat="false" ht="15" hidden="false" customHeight="false" outlineLevel="0" collapsed="false">
      <c r="A9" s="7" t="s">
        <v>19</v>
      </c>
      <c r="B9" s="11" t="n">
        <v>0.12</v>
      </c>
      <c r="C9" s="7" t="s">
        <v>17</v>
      </c>
      <c r="D9" s="9" t="s">
        <v>20</v>
      </c>
    </row>
    <row r="10" customFormat="false" ht="15" hidden="false" customHeight="false" outlineLevel="0" collapsed="false">
      <c r="A10" s="7" t="s">
        <v>21</v>
      </c>
      <c r="B10" s="11" t="n">
        <v>0.15</v>
      </c>
      <c r="C10" s="7" t="s">
        <v>17</v>
      </c>
      <c r="D10" s="9" t="s">
        <v>22</v>
      </c>
    </row>
    <row r="11" customFormat="false" ht="15" hidden="false" customHeight="false" outlineLevel="0" collapsed="false">
      <c r="A11" s="5" t="s">
        <v>23</v>
      </c>
      <c r="B11" s="6"/>
      <c r="C11" s="6"/>
      <c r="D11" s="6"/>
    </row>
    <row r="12" customFormat="false" ht="15" hidden="false" customHeight="false" outlineLevel="0" collapsed="false">
      <c r="A12" s="7" t="s">
        <v>24</v>
      </c>
      <c r="B12" s="12" t="n">
        <v>0.55</v>
      </c>
      <c r="C12" s="7" t="s">
        <v>25</v>
      </c>
      <c r="D12" s="9" t="s">
        <v>26</v>
      </c>
    </row>
    <row r="13" customFormat="false" ht="15" hidden="false" customHeight="false" outlineLevel="0" collapsed="false">
      <c r="A13" s="7" t="s">
        <v>27</v>
      </c>
      <c r="B13" s="13" t="n">
        <v>500</v>
      </c>
      <c r="C13" s="7" t="s">
        <v>28</v>
      </c>
      <c r="D13" s="9" t="s">
        <v>29</v>
      </c>
    </row>
    <row r="14" customFormat="false" ht="15" hidden="false" customHeight="false" outlineLevel="0" collapsed="false">
      <c r="A14" s="7" t="s">
        <v>30</v>
      </c>
      <c r="B14" s="8" t="n">
        <v>120</v>
      </c>
      <c r="C14" s="7" t="s">
        <v>31</v>
      </c>
      <c r="D14" s="9" t="s">
        <v>32</v>
      </c>
    </row>
    <row r="15" customFormat="false" ht="15" hidden="false" customHeight="false" outlineLevel="0" collapsed="false">
      <c r="A15" s="7" t="s">
        <v>33</v>
      </c>
      <c r="B15" s="8" t="n">
        <v>300</v>
      </c>
      <c r="C15" s="7" t="s">
        <v>31</v>
      </c>
      <c r="D15" s="9" t="s">
        <v>34</v>
      </c>
    </row>
    <row r="16" customFormat="false" ht="15" hidden="false" customHeight="false" outlineLevel="0" collapsed="false">
      <c r="A16" s="7" t="s">
        <v>35</v>
      </c>
      <c r="B16" s="10" t="n">
        <v>9000</v>
      </c>
      <c r="C16" s="7" t="s">
        <v>36</v>
      </c>
      <c r="D16" s="9" t="s">
        <v>37</v>
      </c>
    </row>
    <row r="17" customFormat="false" ht="15" hidden="false" customHeight="false" outlineLevel="0" collapsed="false">
      <c r="A17" s="7" t="s">
        <v>38</v>
      </c>
      <c r="B17" s="10" t="n">
        <v>1900</v>
      </c>
      <c r="C17" s="7" t="s">
        <v>39</v>
      </c>
      <c r="D17" s="9" t="s">
        <v>40</v>
      </c>
    </row>
    <row r="18" customFormat="false" ht="15" hidden="false" customHeight="false" outlineLevel="0" collapsed="false">
      <c r="A18" s="7" t="s">
        <v>41</v>
      </c>
      <c r="B18" s="8" t="n">
        <v>60</v>
      </c>
      <c r="C18" s="7" t="s">
        <v>31</v>
      </c>
      <c r="D18" s="9" t="s">
        <v>42</v>
      </c>
    </row>
    <row r="19" customFormat="false" ht="15" hidden="false" customHeight="false" outlineLevel="0" collapsed="false">
      <c r="A19" s="7" t="s">
        <v>43</v>
      </c>
      <c r="B19" s="8" t="n">
        <v>30</v>
      </c>
      <c r="C19" s="7" t="s">
        <v>31</v>
      </c>
      <c r="D19" s="9" t="s">
        <v>42</v>
      </c>
    </row>
    <row r="20" customFormat="false" ht="15" hidden="false" customHeight="false" outlineLevel="0" collapsed="false">
      <c r="A20" s="5" t="s">
        <v>44</v>
      </c>
      <c r="B20" s="6"/>
      <c r="C20" s="6"/>
      <c r="D20" s="6"/>
    </row>
    <row r="21" customFormat="false" ht="15" hidden="false" customHeight="false" outlineLevel="0" collapsed="false">
      <c r="A21" s="7" t="s">
        <v>45</v>
      </c>
      <c r="B21" s="13" t="n">
        <v>1700</v>
      </c>
      <c r="C21" s="7" t="s">
        <v>28</v>
      </c>
      <c r="D21" s="9" t="s">
        <v>46</v>
      </c>
    </row>
    <row r="22" customFormat="false" ht="15" hidden="false" customHeight="false" outlineLevel="0" collapsed="false">
      <c r="A22" s="7" t="s">
        <v>47</v>
      </c>
      <c r="B22" s="8" t="n">
        <v>2600</v>
      </c>
      <c r="C22" s="7" t="s">
        <v>28</v>
      </c>
      <c r="D22" s="9" t="s">
        <v>48</v>
      </c>
    </row>
    <row r="23" customFormat="false" ht="15" hidden="false" customHeight="false" outlineLevel="0" collapsed="false">
      <c r="A23" s="7" t="s">
        <v>49</v>
      </c>
      <c r="B23" s="8" t="n">
        <v>900</v>
      </c>
      <c r="C23" s="7" t="s">
        <v>28</v>
      </c>
      <c r="D23" s="9" t="s">
        <v>42</v>
      </c>
    </row>
    <row r="24" customFormat="false" ht="15" hidden="false" customHeight="false" outlineLevel="0" collapsed="false">
      <c r="A24" s="7" t="s">
        <v>50</v>
      </c>
      <c r="B24" s="11" t="n">
        <v>0.08</v>
      </c>
      <c r="C24" s="7" t="s">
        <v>17</v>
      </c>
      <c r="D24" s="9" t="s">
        <v>51</v>
      </c>
    </row>
    <row r="25" customFormat="false" ht="15" hidden="false" customHeight="false" outlineLevel="0" collapsed="false">
      <c r="A25" s="7" t="s">
        <v>52</v>
      </c>
      <c r="B25" s="11" t="n">
        <v>0.72</v>
      </c>
      <c r="C25" s="7" t="s">
        <v>17</v>
      </c>
      <c r="D25" s="9" t="s">
        <v>53</v>
      </c>
    </row>
    <row r="26" customFormat="false" ht="15" hidden="false" customHeight="false" outlineLevel="0" collapsed="false">
      <c r="A26" s="7" t="s">
        <v>54</v>
      </c>
      <c r="B26" s="11" t="n">
        <v>0.05</v>
      </c>
      <c r="C26" s="7" t="s">
        <v>17</v>
      </c>
      <c r="D26" s="9" t="s">
        <v>55</v>
      </c>
    </row>
    <row r="27" customFormat="false" ht="15" hidden="false" customHeight="false" outlineLevel="0" collapsed="false">
      <c r="A27" s="7" t="s">
        <v>56</v>
      </c>
      <c r="B27" s="10" t="n">
        <v>900</v>
      </c>
      <c r="C27" s="7" t="s">
        <v>57</v>
      </c>
      <c r="D27" s="9" t="s">
        <v>42</v>
      </c>
    </row>
    <row r="28" customFormat="false" ht="15" hidden="false" customHeight="false" outlineLevel="0" collapsed="false">
      <c r="A28" s="7" t="s">
        <v>58</v>
      </c>
      <c r="B28" s="8" t="n">
        <v>110</v>
      </c>
      <c r="C28" s="7" t="s">
        <v>28</v>
      </c>
      <c r="D28" s="9" t="s">
        <v>42</v>
      </c>
    </row>
    <row r="29" customFormat="false" ht="15" hidden="false" customHeight="false" outlineLevel="0" collapsed="false">
      <c r="A29" s="5" t="s">
        <v>59</v>
      </c>
      <c r="B29" s="6"/>
      <c r="C29" s="6"/>
      <c r="D29" s="6"/>
    </row>
    <row r="30" customFormat="false" ht="15" hidden="false" customHeight="false" outlineLevel="0" collapsed="false">
      <c r="A30" s="7" t="s">
        <v>60</v>
      </c>
      <c r="B30" s="13" t="n">
        <v>3900</v>
      </c>
      <c r="C30" s="7" t="s">
        <v>28</v>
      </c>
      <c r="D30" s="9" t="s">
        <v>61</v>
      </c>
    </row>
    <row r="31" customFormat="false" ht="15" hidden="false" customHeight="false" outlineLevel="0" collapsed="false">
      <c r="A31" s="7" t="s">
        <v>62</v>
      </c>
      <c r="B31" s="13" t="n">
        <v>4500</v>
      </c>
      <c r="C31" s="7" t="s">
        <v>28</v>
      </c>
      <c r="D31" s="9" t="s">
        <v>63</v>
      </c>
    </row>
    <row r="32" customFormat="false" ht="15" hidden="false" customHeight="false" outlineLevel="0" collapsed="false">
      <c r="A32" s="7" t="s">
        <v>64</v>
      </c>
      <c r="B32" s="11" t="n">
        <v>0.04</v>
      </c>
      <c r="C32" s="7" t="s">
        <v>65</v>
      </c>
      <c r="D32" s="9" t="s">
        <v>42</v>
      </c>
    </row>
    <row r="33" customFormat="false" ht="15" hidden="false" customHeight="false" outlineLevel="0" collapsed="false">
      <c r="A33" s="5" t="s">
        <v>66</v>
      </c>
      <c r="B33" s="6"/>
      <c r="C33" s="6"/>
      <c r="D33" s="6"/>
    </row>
    <row r="34" customFormat="false" ht="15" hidden="false" customHeight="false" outlineLevel="0" collapsed="false">
      <c r="A34" s="7" t="s">
        <v>67</v>
      </c>
      <c r="B34" s="10" t="n">
        <v>1500</v>
      </c>
      <c r="C34" s="7" t="s">
        <v>68</v>
      </c>
      <c r="D34" s="9" t="s">
        <v>69</v>
      </c>
    </row>
    <row r="35" customFormat="false" ht="15" hidden="false" customHeight="false" outlineLevel="0" collapsed="false">
      <c r="A35" s="7" t="s">
        <v>70</v>
      </c>
      <c r="B35" s="14" t="n">
        <v>4</v>
      </c>
      <c r="C35" s="7" t="s">
        <v>71</v>
      </c>
      <c r="D35" s="9" t="s">
        <v>72</v>
      </c>
    </row>
    <row r="36" customFormat="false" ht="15" hidden="false" customHeight="false" outlineLevel="0" collapsed="false">
      <c r="A36" s="7" t="s">
        <v>73</v>
      </c>
      <c r="B36" s="11" t="n">
        <v>0.03</v>
      </c>
      <c r="C36" s="7" t="s">
        <v>74</v>
      </c>
      <c r="D36" s="9" t="s">
        <v>42</v>
      </c>
    </row>
    <row r="37" customFormat="false" ht="15" hidden="false" customHeight="false" outlineLevel="0" collapsed="false">
      <c r="A37" s="7" t="s">
        <v>75</v>
      </c>
      <c r="B37" s="8" t="n">
        <v>30000</v>
      </c>
      <c r="C37" s="7" t="s">
        <v>76</v>
      </c>
      <c r="D37" s="9" t="s">
        <v>77</v>
      </c>
    </row>
    <row r="38" customFormat="false" ht="15" hidden="false" customHeight="false" outlineLevel="0" collapsed="false">
      <c r="A38" s="7" t="s">
        <v>78</v>
      </c>
      <c r="B38" s="8" t="n">
        <v>20000</v>
      </c>
      <c r="C38" s="7" t="s">
        <v>76</v>
      </c>
      <c r="D38" s="9" t="s">
        <v>42</v>
      </c>
    </row>
    <row r="39" customFormat="false" ht="15" hidden="false" customHeight="false" outlineLevel="0" collapsed="false">
      <c r="A39" s="7" t="s">
        <v>79</v>
      </c>
      <c r="B39" s="8" t="n">
        <v>10000</v>
      </c>
      <c r="C39" s="7" t="s">
        <v>76</v>
      </c>
      <c r="D39" s="9" t="s">
        <v>80</v>
      </c>
    </row>
    <row r="40" customFormat="false" ht="15" hidden="false" customHeight="false" outlineLevel="0" collapsed="false">
      <c r="A40" s="7" t="s">
        <v>81</v>
      </c>
      <c r="B40" s="8" t="n">
        <v>25000</v>
      </c>
      <c r="C40" s="7" t="s">
        <v>76</v>
      </c>
      <c r="D40" s="9" t="s">
        <v>82</v>
      </c>
    </row>
    <row r="41" customFormat="false" ht="15" hidden="false" customHeight="false" outlineLevel="0" collapsed="false">
      <c r="A41" s="7" t="s">
        <v>83</v>
      </c>
      <c r="B41" s="8" t="n">
        <v>12000</v>
      </c>
      <c r="C41" s="7" t="s">
        <v>76</v>
      </c>
      <c r="D41" s="9" t="s">
        <v>42</v>
      </c>
    </row>
    <row r="42" customFormat="false" ht="15" hidden="false" customHeight="false" outlineLevel="0" collapsed="false">
      <c r="A42" s="5" t="s">
        <v>84</v>
      </c>
      <c r="B42" s="6"/>
      <c r="C42" s="6"/>
      <c r="D42" s="6"/>
    </row>
    <row r="43" customFormat="false" ht="15" hidden="false" customHeight="false" outlineLevel="0" collapsed="false">
      <c r="A43" s="7" t="s">
        <v>85</v>
      </c>
      <c r="B43" s="10" t="n">
        <v>10</v>
      </c>
      <c r="C43" s="7" t="s">
        <v>86</v>
      </c>
      <c r="D43" s="9" t="s">
        <v>87</v>
      </c>
    </row>
    <row r="44" customFormat="false" ht="15" hidden="false" customHeight="false" outlineLevel="0" collapsed="false">
      <c r="A44" s="7" t="s">
        <v>88</v>
      </c>
      <c r="B44" s="11" t="n">
        <v>0.15</v>
      </c>
      <c r="C44" s="7" t="s">
        <v>89</v>
      </c>
      <c r="D44" s="9" t="s">
        <v>90</v>
      </c>
    </row>
    <row r="45" customFormat="false" ht="15" hidden="false" customHeight="false" outlineLevel="0" collapsed="false">
      <c r="A45" s="7" t="s">
        <v>91</v>
      </c>
      <c r="B45" s="11" t="n">
        <v>0.5</v>
      </c>
      <c r="C45" s="7" t="s">
        <v>17</v>
      </c>
      <c r="D45" s="9" t="s">
        <v>92</v>
      </c>
    </row>
    <row r="46" customFormat="false" ht="15" hidden="false" customHeight="false" outlineLevel="0" collapsed="false">
      <c r="A46" s="7" t="s">
        <v>93</v>
      </c>
      <c r="B46" s="11" t="n">
        <v>0.1</v>
      </c>
      <c r="C46" s="7" t="s">
        <v>94</v>
      </c>
      <c r="D46" s="9" t="s">
        <v>95</v>
      </c>
    </row>
    <row r="47" customFormat="false" ht="15" hidden="false" customHeight="false" outlineLevel="0" collapsed="false">
      <c r="A47" s="7" t="s">
        <v>96</v>
      </c>
      <c r="B47" s="8" t="n">
        <v>50000</v>
      </c>
      <c r="C47" s="7" t="s">
        <v>97</v>
      </c>
      <c r="D47" s="9" t="s">
        <v>98</v>
      </c>
    </row>
    <row r="48" customFormat="false" ht="15" hidden="false" customHeight="false" outlineLevel="0" collapsed="false">
      <c r="A48" s="5" t="s">
        <v>99</v>
      </c>
      <c r="B48" s="6"/>
      <c r="C48" s="6"/>
      <c r="D48" s="6"/>
    </row>
    <row r="49" customFormat="false" ht="15" hidden="false" customHeight="false" outlineLevel="0" collapsed="false">
      <c r="A49" s="7" t="s">
        <v>100</v>
      </c>
      <c r="B49" s="15" t="n">
        <f aca="false">Kirish!$B$6/Kirish!$B$5</f>
        <v>0.0916666666666667</v>
      </c>
      <c r="C49" s="16" t="s">
        <v>101</v>
      </c>
      <c r="D49" s="16"/>
    </row>
    <row r="50" customFormat="false" ht="15" hidden="false" customHeight="false" outlineLevel="0" collapsed="false">
      <c r="A50" s="7" t="s">
        <v>102</v>
      </c>
      <c r="B50" s="15" t="n">
        <f aca="false">Kirish!$B$7/Kirish!$B$5</f>
        <v>0.166666666666667</v>
      </c>
      <c r="C50" s="16" t="s">
        <v>103</v>
      </c>
      <c r="D50" s="16"/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58"/>
  </cols>
  <sheetData>
    <row r="1" customFormat="false" ht="24" hidden="false" customHeight="true" outlineLevel="0" collapsed="false">
      <c r="A1" s="1" t="s">
        <v>104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17" t="s">
        <v>105</v>
      </c>
      <c r="B2" s="17"/>
      <c r="C2" s="17"/>
      <c r="D2" s="17"/>
      <c r="E2" s="17"/>
      <c r="F2" s="17"/>
      <c r="G2" s="17"/>
      <c r="H2" s="17"/>
    </row>
    <row r="3" customFormat="false" ht="39.55" hidden="false" customHeight="false" outlineLevel="0" collapsed="false">
      <c r="A3" s="4" t="s">
        <v>106</v>
      </c>
      <c r="B3" s="4" t="s">
        <v>107</v>
      </c>
      <c r="C3" s="4" t="s">
        <v>108</v>
      </c>
      <c r="D3" s="4" t="s">
        <v>109</v>
      </c>
      <c r="E3" s="4" t="s">
        <v>110</v>
      </c>
      <c r="F3" s="4" t="s">
        <v>111</v>
      </c>
      <c r="G3" s="4" t="s">
        <v>112</v>
      </c>
      <c r="H3" s="4" t="s">
        <v>113</v>
      </c>
    </row>
    <row r="4" customFormat="false" ht="15" hidden="false" customHeight="false" outlineLevel="0" collapsed="false">
      <c r="A4" s="7" t="n">
        <v>1</v>
      </c>
      <c r="B4" s="7" t="s">
        <v>114</v>
      </c>
      <c r="C4" s="18" t="n">
        <v>1</v>
      </c>
      <c r="D4" s="18" t="s">
        <v>115</v>
      </c>
      <c r="E4" s="18" t="n">
        <v>2</v>
      </c>
      <c r="F4" s="8" t="n">
        <v>12000</v>
      </c>
      <c r="G4" s="19" t="n">
        <f aca="false">E4*F4</f>
        <v>24000</v>
      </c>
      <c r="H4" s="20" t="s">
        <v>116</v>
      </c>
    </row>
    <row r="5" customFormat="false" ht="15" hidden="false" customHeight="false" outlineLevel="0" collapsed="false">
      <c r="A5" s="7" t="n">
        <v>2</v>
      </c>
      <c r="B5" s="7" t="s">
        <v>117</v>
      </c>
      <c r="C5" s="18" t="n">
        <v>1</v>
      </c>
      <c r="D5" s="18" t="s">
        <v>115</v>
      </c>
      <c r="E5" s="18" t="n">
        <v>1</v>
      </c>
      <c r="F5" s="8" t="n">
        <v>7000</v>
      </c>
      <c r="G5" s="19" t="n">
        <f aca="false">E5*F5</f>
        <v>7000</v>
      </c>
      <c r="H5" s="20" t="s">
        <v>118</v>
      </c>
    </row>
    <row r="6" customFormat="false" ht="15" hidden="false" customHeight="false" outlineLevel="0" collapsed="false">
      <c r="A6" s="7" t="n">
        <v>3</v>
      </c>
      <c r="B6" s="7" t="s">
        <v>119</v>
      </c>
      <c r="C6" s="18" t="n">
        <v>1</v>
      </c>
      <c r="D6" s="18" t="s">
        <v>115</v>
      </c>
      <c r="E6" s="18" t="n">
        <v>1</v>
      </c>
      <c r="F6" s="8" t="n">
        <v>6000</v>
      </c>
      <c r="G6" s="19" t="n">
        <f aca="false">E6*F6</f>
        <v>6000</v>
      </c>
      <c r="H6" s="20" t="s">
        <v>120</v>
      </c>
    </row>
    <row r="7" customFormat="false" ht="15" hidden="false" customHeight="false" outlineLevel="0" collapsed="false">
      <c r="A7" s="7" t="n">
        <v>4</v>
      </c>
      <c r="B7" s="7" t="s">
        <v>121</v>
      </c>
      <c r="C7" s="18" t="n">
        <v>1</v>
      </c>
      <c r="D7" s="18" t="s">
        <v>115</v>
      </c>
      <c r="E7" s="18" t="n">
        <v>1</v>
      </c>
      <c r="F7" s="8" t="n">
        <v>5000</v>
      </c>
      <c r="G7" s="19" t="n">
        <f aca="false">E7*F7</f>
        <v>5000</v>
      </c>
      <c r="H7" s="20" t="s">
        <v>122</v>
      </c>
    </row>
    <row r="8" customFormat="false" ht="15" hidden="false" customHeight="false" outlineLevel="0" collapsed="false">
      <c r="A8" s="7" t="n">
        <v>5</v>
      </c>
      <c r="B8" s="7" t="s">
        <v>123</v>
      </c>
      <c r="C8" s="18" t="n">
        <v>1</v>
      </c>
      <c r="D8" s="18" t="s">
        <v>115</v>
      </c>
      <c r="E8" s="18" t="n">
        <v>1</v>
      </c>
      <c r="F8" s="8" t="n">
        <v>5000</v>
      </c>
      <c r="G8" s="19" t="n">
        <f aca="false">E8*F8</f>
        <v>5000</v>
      </c>
      <c r="H8" s="20" t="s">
        <v>124</v>
      </c>
    </row>
    <row r="9" customFormat="false" ht="15" hidden="false" customHeight="false" outlineLevel="0" collapsed="false">
      <c r="A9" s="7" t="n">
        <v>6</v>
      </c>
      <c r="B9" s="7" t="s">
        <v>125</v>
      </c>
      <c r="C9" s="18" t="n">
        <v>1</v>
      </c>
      <c r="D9" s="18" t="s">
        <v>115</v>
      </c>
      <c r="E9" s="18" t="n">
        <v>1</v>
      </c>
      <c r="F9" s="8" t="n">
        <v>2500</v>
      </c>
      <c r="G9" s="19" t="n">
        <f aca="false">E9*F9</f>
        <v>2500</v>
      </c>
      <c r="H9" s="20" t="s">
        <v>126</v>
      </c>
    </row>
    <row r="10" customFormat="false" ht="15" hidden="false" customHeight="false" outlineLevel="0" collapsed="false">
      <c r="A10" s="7" t="n">
        <v>7</v>
      </c>
      <c r="B10" s="7" t="s">
        <v>127</v>
      </c>
      <c r="C10" s="18" t="n">
        <v>1</v>
      </c>
      <c r="D10" s="18" t="s">
        <v>115</v>
      </c>
      <c r="E10" s="18" t="n">
        <v>1</v>
      </c>
      <c r="F10" s="8" t="n">
        <v>4000</v>
      </c>
      <c r="G10" s="19" t="n">
        <f aca="false">E10*F10</f>
        <v>4000</v>
      </c>
      <c r="H10" s="20" t="s">
        <v>128</v>
      </c>
    </row>
    <row r="11" customFormat="false" ht="15" hidden="false" customHeight="false" outlineLevel="0" collapsed="false">
      <c r="A11" s="7" t="n">
        <v>8</v>
      </c>
      <c r="B11" s="7" t="s">
        <v>129</v>
      </c>
      <c r="C11" s="18" t="n">
        <v>1</v>
      </c>
      <c r="D11" s="18" t="s">
        <v>115</v>
      </c>
      <c r="E11" s="18" t="n">
        <v>1</v>
      </c>
      <c r="F11" s="8" t="n">
        <v>35000</v>
      </c>
      <c r="G11" s="19" t="n">
        <f aca="false">E11*F11</f>
        <v>35000</v>
      </c>
      <c r="H11" s="20" t="s">
        <v>130</v>
      </c>
    </row>
    <row r="12" customFormat="false" ht="15" hidden="false" customHeight="false" outlineLevel="0" collapsed="false">
      <c r="A12" s="7" t="n">
        <v>9</v>
      </c>
      <c r="B12" s="7" t="s">
        <v>131</v>
      </c>
      <c r="C12" s="18" t="n">
        <v>1</v>
      </c>
      <c r="D12" s="18" t="s">
        <v>115</v>
      </c>
      <c r="E12" s="18" t="n">
        <v>1</v>
      </c>
      <c r="F12" s="8" t="n">
        <v>5000</v>
      </c>
      <c r="G12" s="19" t="n">
        <f aca="false">E12*F12</f>
        <v>5000</v>
      </c>
      <c r="H12" s="20" t="s">
        <v>132</v>
      </c>
    </row>
    <row r="13" customFormat="false" ht="15" hidden="false" customHeight="false" outlineLevel="0" collapsed="false">
      <c r="A13" s="7" t="n">
        <v>10</v>
      </c>
      <c r="B13" s="7" t="s">
        <v>133</v>
      </c>
      <c r="C13" s="18" t="n">
        <v>1</v>
      </c>
      <c r="D13" s="18" t="s">
        <v>115</v>
      </c>
      <c r="E13" s="18" t="n">
        <v>1</v>
      </c>
      <c r="F13" s="8" t="n">
        <v>4000</v>
      </c>
      <c r="G13" s="19" t="n">
        <f aca="false">E13*F13</f>
        <v>4000</v>
      </c>
      <c r="H13" s="20" t="s">
        <v>134</v>
      </c>
    </row>
    <row r="14" customFormat="false" ht="15" hidden="false" customHeight="false" outlineLevel="0" collapsed="false">
      <c r="A14" s="7" t="n">
        <v>11</v>
      </c>
      <c r="B14" s="7" t="s">
        <v>135</v>
      </c>
      <c r="C14" s="18" t="n">
        <v>1</v>
      </c>
      <c r="D14" s="18" t="s">
        <v>115</v>
      </c>
      <c r="E14" s="18" t="n">
        <v>1</v>
      </c>
      <c r="F14" s="8" t="n">
        <v>12000</v>
      </c>
      <c r="G14" s="19" t="n">
        <f aca="false">E14*F14</f>
        <v>12000</v>
      </c>
      <c r="H14" s="20" t="s">
        <v>136</v>
      </c>
    </row>
    <row r="15" customFormat="false" ht="15" hidden="false" customHeight="false" outlineLevel="0" collapsed="false">
      <c r="A15" s="7" t="n">
        <v>12</v>
      </c>
      <c r="B15" s="7" t="s">
        <v>137</v>
      </c>
      <c r="C15" s="18" t="n">
        <v>1</v>
      </c>
      <c r="D15" s="18" t="s">
        <v>115</v>
      </c>
      <c r="E15" s="18" t="n">
        <v>1</v>
      </c>
      <c r="F15" s="8" t="n">
        <v>45000</v>
      </c>
      <c r="G15" s="19" t="n">
        <f aca="false">E15*F15</f>
        <v>45000</v>
      </c>
      <c r="H15" s="20" t="s">
        <v>138</v>
      </c>
    </row>
    <row r="16" customFormat="false" ht="15" hidden="false" customHeight="false" outlineLevel="0" collapsed="false">
      <c r="A16" s="7" t="n">
        <v>13</v>
      </c>
      <c r="B16" s="7" t="s">
        <v>139</v>
      </c>
      <c r="C16" s="18" t="n">
        <v>1</v>
      </c>
      <c r="D16" s="18" t="s">
        <v>115</v>
      </c>
      <c r="E16" s="18" t="n">
        <v>1</v>
      </c>
      <c r="F16" s="8" t="n">
        <v>22000</v>
      </c>
      <c r="G16" s="19" t="n">
        <f aca="false">E16*F16</f>
        <v>22000</v>
      </c>
      <c r="H16" s="20" t="s">
        <v>140</v>
      </c>
    </row>
    <row r="17" customFormat="false" ht="15" hidden="false" customHeight="false" outlineLevel="0" collapsed="false">
      <c r="A17" s="7" t="n">
        <v>14</v>
      </c>
      <c r="B17" s="7" t="s">
        <v>141</v>
      </c>
      <c r="C17" s="18" t="n">
        <v>1</v>
      </c>
      <c r="D17" s="18" t="s">
        <v>115</v>
      </c>
      <c r="E17" s="18" t="n">
        <v>1</v>
      </c>
      <c r="F17" s="8" t="n">
        <v>85000</v>
      </c>
      <c r="G17" s="19" t="n">
        <f aca="false">E17*F17</f>
        <v>85000</v>
      </c>
      <c r="H17" s="20" t="s">
        <v>142</v>
      </c>
    </row>
    <row r="18" customFormat="false" ht="15" hidden="false" customHeight="false" outlineLevel="0" collapsed="false">
      <c r="A18" s="7" t="n">
        <v>15</v>
      </c>
      <c r="B18" s="7" t="s">
        <v>143</v>
      </c>
      <c r="C18" s="18" t="n">
        <v>1</v>
      </c>
      <c r="D18" s="18" t="s">
        <v>115</v>
      </c>
      <c r="E18" s="18" t="n">
        <v>1</v>
      </c>
      <c r="F18" s="8" t="n">
        <v>70000</v>
      </c>
      <c r="G18" s="19" t="n">
        <f aca="false">E18*F18</f>
        <v>70000</v>
      </c>
      <c r="H18" s="20" t="s">
        <v>144</v>
      </c>
    </row>
    <row r="19" customFormat="false" ht="15" hidden="false" customHeight="false" outlineLevel="0" collapsed="false">
      <c r="A19" s="7" t="n">
        <v>16</v>
      </c>
      <c r="B19" s="7" t="s">
        <v>145</v>
      </c>
      <c r="C19" s="18" t="n">
        <v>1</v>
      </c>
      <c r="D19" s="18" t="s">
        <v>115</v>
      </c>
      <c r="E19" s="18" t="n">
        <v>2</v>
      </c>
      <c r="F19" s="8" t="n">
        <v>18000</v>
      </c>
      <c r="G19" s="19" t="n">
        <f aca="false">E19*F19</f>
        <v>36000</v>
      </c>
      <c r="H19" s="20" t="s">
        <v>146</v>
      </c>
    </row>
    <row r="20" customFormat="false" ht="15" hidden="false" customHeight="false" outlineLevel="0" collapsed="false">
      <c r="A20" s="7" t="n">
        <v>17</v>
      </c>
      <c r="B20" s="7" t="s">
        <v>147</v>
      </c>
      <c r="C20" s="18" t="n">
        <v>1</v>
      </c>
      <c r="D20" s="18" t="s">
        <v>115</v>
      </c>
      <c r="E20" s="18" t="n">
        <v>1</v>
      </c>
      <c r="F20" s="8" t="n">
        <v>22000</v>
      </c>
      <c r="G20" s="19" t="n">
        <f aca="false">E20*F20</f>
        <v>22000</v>
      </c>
      <c r="H20" s="20" t="s">
        <v>148</v>
      </c>
    </row>
    <row r="21" customFormat="false" ht="15" hidden="false" customHeight="false" outlineLevel="0" collapsed="false">
      <c r="A21" s="7" t="n">
        <v>18</v>
      </c>
      <c r="B21" s="7" t="s">
        <v>149</v>
      </c>
      <c r="C21" s="18" t="n">
        <v>1</v>
      </c>
      <c r="D21" s="18" t="s">
        <v>115</v>
      </c>
      <c r="E21" s="18" t="n">
        <v>1</v>
      </c>
      <c r="F21" s="8" t="n">
        <v>20000</v>
      </c>
      <c r="G21" s="19" t="n">
        <f aca="false">E21*F21</f>
        <v>20000</v>
      </c>
      <c r="H21" s="20" t="s">
        <v>150</v>
      </c>
    </row>
    <row r="22" customFormat="false" ht="15" hidden="false" customHeight="false" outlineLevel="0" collapsed="false">
      <c r="A22" s="7" t="n">
        <v>19</v>
      </c>
      <c r="B22" s="7" t="s">
        <v>151</v>
      </c>
      <c r="C22" s="18" t="n">
        <v>1</v>
      </c>
      <c r="D22" s="18" t="s">
        <v>152</v>
      </c>
      <c r="E22" s="18" t="n">
        <v>1</v>
      </c>
      <c r="F22" s="8" t="n">
        <v>80000</v>
      </c>
      <c r="G22" s="19" t="n">
        <f aca="false">E22*F22</f>
        <v>80000</v>
      </c>
      <c r="H22" s="20" t="s">
        <v>153</v>
      </c>
    </row>
    <row r="23" customFormat="false" ht="15" hidden="false" customHeight="false" outlineLevel="0" collapsed="false">
      <c r="A23" s="7" t="n">
        <v>20</v>
      </c>
      <c r="B23" s="7" t="s">
        <v>154</v>
      </c>
      <c r="C23" s="18" t="n">
        <v>1</v>
      </c>
      <c r="D23" s="18" t="s">
        <v>152</v>
      </c>
      <c r="E23" s="18" t="n">
        <v>1</v>
      </c>
      <c r="F23" s="8" t="n">
        <v>25000</v>
      </c>
      <c r="G23" s="19" t="n">
        <f aca="false">E23*F23</f>
        <v>25000</v>
      </c>
      <c r="H23" s="20" t="s">
        <v>155</v>
      </c>
    </row>
    <row r="24" customFormat="false" ht="15" hidden="false" customHeight="false" outlineLevel="0" collapsed="false">
      <c r="A24" s="7" t="n">
        <v>21</v>
      </c>
      <c r="B24" s="7" t="s">
        <v>156</v>
      </c>
      <c r="C24" s="18" t="n">
        <v>1</v>
      </c>
      <c r="D24" s="18" t="s">
        <v>152</v>
      </c>
      <c r="E24" s="18" t="n">
        <v>1</v>
      </c>
      <c r="F24" s="8" t="n">
        <v>5000</v>
      </c>
      <c r="G24" s="19" t="n">
        <f aca="false">E24*F24</f>
        <v>5000</v>
      </c>
      <c r="H24" s="20" t="s">
        <v>157</v>
      </c>
    </row>
    <row r="25" customFormat="false" ht="15" hidden="false" customHeight="false" outlineLevel="0" collapsed="false">
      <c r="A25" s="7" t="n">
        <v>22</v>
      </c>
      <c r="B25" s="7" t="s">
        <v>158</v>
      </c>
      <c r="C25" s="18" t="n">
        <v>1</v>
      </c>
      <c r="D25" s="18" t="s">
        <v>152</v>
      </c>
      <c r="E25" s="18" t="n">
        <v>1</v>
      </c>
      <c r="F25" s="8" t="n">
        <v>30000</v>
      </c>
      <c r="G25" s="19" t="n">
        <f aca="false">E25*F25</f>
        <v>30000</v>
      </c>
      <c r="H25" s="20" t="s">
        <v>159</v>
      </c>
    </row>
    <row r="26" customFormat="false" ht="15" hidden="false" customHeight="false" outlineLevel="0" collapsed="false">
      <c r="A26" s="7" t="n">
        <v>23</v>
      </c>
      <c r="B26" s="7" t="s">
        <v>160</v>
      </c>
      <c r="C26" s="18" t="n">
        <v>2</v>
      </c>
      <c r="D26" s="18" t="s">
        <v>115</v>
      </c>
      <c r="E26" s="18" t="n">
        <v>1</v>
      </c>
      <c r="F26" s="8" t="n">
        <v>40000</v>
      </c>
      <c r="G26" s="19" t="n">
        <f aca="false">E26*F26</f>
        <v>40000</v>
      </c>
      <c r="H26" s="20" t="s">
        <v>161</v>
      </c>
    </row>
    <row r="27" customFormat="false" ht="15" hidden="false" customHeight="false" outlineLevel="0" collapsed="false">
      <c r="A27" s="7" t="n">
        <v>24</v>
      </c>
      <c r="B27" s="7" t="s">
        <v>162</v>
      </c>
      <c r="C27" s="18" t="n">
        <v>2</v>
      </c>
      <c r="D27" s="18" t="s">
        <v>115</v>
      </c>
      <c r="E27" s="18" t="n">
        <v>2</v>
      </c>
      <c r="F27" s="8" t="n">
        <v>90000</v>
      </c>
      <c r="G27" s="19" t="n">
        <f aca="false">E27*F27</f>
        <v>180000</v>
      </c>
      <c r="H27" s="20" t="s">
        <v>163</v>
      </c>
    </row>
    <row r="28" customFormat="false" ht="15" hidden="false" customHeight="false" outlineLevel="0" collapsed="false">
      <c r="A28" s="7" t="n">
        <v>25</v>
      </c>
      <c r="B28" s="7" t="s">
        <v>164</v>
      </c>
      <c r="C28" s="18" t="n">
        <v>2</v>
      </c>
      <c r="D28" s="18" t="s">
        <v>115</v>
      </c>
      <c r="E28" s="18" t="n">
        <v>1</v>
      </c>
      <c r="F28" s="8" t="n">
        <v>30000</v>
      </c>
      <c r="G28" s="19" t="n">
        <f aca="false">E28*F28</f>
        <v>30000</v>
      </c>
      <c r="H28" s="20" t="s">
        <v>165</v>
      </c>
    </row>
    <row r="29" customFormat="false" ht="15" hidden="false" customHeight="false" outlineLevel="0" collapsed="false">
      <c r="A29" s="7" t="n">
        <v>26</v>
      </c>
      <c r="B29" s="7" t="s">
        <v>166</v>
      </c>
      <c r="C29" s="18" t="n">
        <v>2</v>
      </c>
      <c r="D29" s="18" t="s">
        <v>115</v>
      </c>
      <c r="E29" s="18" t="n">
        <v>1</v>
      </c>
      <c r="F29" s="8" t="n">
        <v>35000</v>
      </c>
      <c r="G29" s="19" t="n">
        <f aca="false">E29*F29</f>
        <v>35000</v>
      </c>
      <c r="H29" s="20" t="s">
        <v>167</v>
      </c>
    </row>
    <row r="30" customFormat="false" ht="15" hidden="false" customHeight="false" outlineLevel="0" collapsed="false">
      <c r="A30" s="7" t="n">
        <v>27</v>
      </c>
      <c r="B30" s="7" t="s">
        <v>168</v>
      </c>
      <c r="C30" s="18" t="n">
        <v>2</v>
      </c>
      <c r="D30" s="18" t="s">
        <v>115</v>
      </c>
      <c r="E30" s="18" t="n">
        <v>1</v>
      </c>
      <c r="F30" s="8" t="n">
        <v>35000</v>
      </c>
      <c r="G30" s="19" t="n">
        <f aca="false">E30*F30</f>
        <v>35000</v>
      </c>
      <c r="H30" s="20" t="s">
        <v>169</v>
      </c>
    </row>
    <row r="31" customFormat="false" ht="15" hidden="false" customHeight="false" outlineLevel="0" collapsed="false">
      <c r="A31" s="7" t="n">
        <v>28</v>
      </c>
      <c r="B31" s="7" t="s">
        <v>170</v>
      </c>
      <c r="C31" s="18" t="n">
        <v>2</v>
      </c>
      <c r="D31" s="18" t="s">
        <v>115</v>
      </c>
      <c r="E31" s="18" t="n">
        <v>1</v>
      </c>
      <c r="F31" s="8" t="n">
        <v>30000</v>
      </c>
      <c r="G31" s="19" t="n">
        <f aca="false">E31*F31</f>
        <v>30000</v>
      </c>
      <c r="H31" s="20" t="s">
        <v>171</v>
      </c>
    </row>
    <row r="32" customFormat="false" ht="15" hidden="false" customHeight="false" outlineLevel="0" collapsed="false">
      <c r="A32" s="7" t="n">
        <v>29</v>
      </c>
      <c r="B32" s="7" t="s">
        <v>172</v>
      </c>
      <c r="C32" s="18" t="n">
        <v>2</v>
      </c>
      <c r="D32" s="18" t="s">
        <v>115</v>
      </c>
      <c r="E32" s="18" t="n">
        <v>1</v>
      </c>
      <c r="F32" s="8" t="n">
        <v>15000</v>
      </c>
      <c r="G32" s="19" t="n">
        <f aca="false">E32*F32</f>
        <v>15000</v>
      </c>
      <c r="H32" s="20" t="s">
        <v>171</v>
      </c>
    </row>
    <row r="33" customFormat="false" ht="15" hidden="false" customHeight="false" outlineLevel="0" collapsed="false">
      <c r="A33" s="7" t="n">
        <v>30</v>
      </c>
      <c r="B33" s="7" t="s">
        <v>173</v>
      </c>
      <c r="C33" s="18" t="n">
        <v>2</v>
      </c>
      <c r="D33" s="18" t="s">
        <v>115</v>
      </c>
      <c r="E33" s="18" t="n">
        <v>1</v>
      </c>
      <c r="F33" s="8" t="n">
        <v>70000</v>
      </c>
      <c r="G33" s="19" t="n">
        <f aca="false">E33*F33</f>
        <v>70000</v>
      </c>
      <c r="H33" s="20" t="s">
        <v>174</v>
      </c>
    </row>
    <row r="34" customFormat="false" ht="15" hidden="false" customHeight="false" outlineLevel="0" collapsed="false">
      <c r="A34" s="7" t="n">
        <v>31</v>
      </c>
      <c r="B34" s="7" t="s">
        <v>175</v>
      </c>
      <c r="C34" s="18" t="n">
        <v>2</v>
      </c>
      <c r="D34" s="18" t="s">
        <v>115</v>
      </c>
      <c r="E34" s="18" t="n">
        <v>1</v>
      </c>
      <c r="F34" s="8" t="n">
        <v>30000</v>
      </c>
      <c r="G34" s="19" t="n">
        <f aca="false">E34*F34</f>
        <v>30000</v>
      </c>
      <c r="H34" s="20" t="s">
        <v>165</v>
      </c>
    </row>
    <row r="35" customFormat="false" ht="15" hidden="false" customHeight="false" outlineLevel="0" collapsed="false">
      <c r="A35" s="7" t="n">
        <v>32</v>
      </c>
      <c r="B35" s="7" t="s">
        <v>176</v>
      </c>
      <c r="C35" s="18" t="n">
        <v>2</v>
      </c>
      <c r="D35" s="18" t="s">
        <v>115</v>
      </c>
      <c r="E35" s="18" t="n">
        <v>1</v>
      </c>
      <c r="F35" s="8" t="n">
        <v>40000</v>
      </c>
      <c r="G35" s="19" t="n">
        <f aca="false">E35*F35</f>
        <v>40000</v>
      </c>
      <c r="H35" s="20" t="s">
        <v>177</v>
      </c>
    </row>
    <row r="36" customFormat="false" ht="15" hidden="false" customHeight="false" outlineLevel="0" collapsed="false">
      <c r="A36" s="7" t="n">
        <v>33</v>
      </c>
      <c r="B36" s="7" t="s">
        <v>178</v>
      </c>
      <c r="C36" s="18" t="n">
        <v>2</v>
      </c>
      <c r="D36" s="18" t="s">
        <v>115</v>
      </c>
      <c r="E36" s="18" t="n">
        <v>1</v>
      </c>
      <c r="F36" s="8" t="n">
        <v>60000</v>
      </c>
      <c r="G36" s="19" t="n">
        <f aca="false">E36*F36</f>
        <v>60000</v>
      </c>
      <c r="H36" s="20" t="s">
        <v>179</v>
      </c>
    </row>
    <row r="37" customFormat="false" ht="15" hidden="false" customHeight="false" outlineLevel="0" collapsed="false">
      <c r="A37" s="7" t="n">
        <v>34</v>
      </c>
      <c r="B37" s="7" t="s">
        <v>180</v>
      </c>
      <c r="C37" s="18" t="n">
        <v>2</v>
      </c>
      <c r="D37" s="18" t="s">
        <v>115</v>
      </c>
      <c r="E37" s="18" t="n">
        <v>1</v>
      </c>
      <c r="F37" s="8" t="n">
        <v>70000</v>
      </c>
      <c r="G37" s="19" t="n">
        <f aca="false">E37*F37</f>
        <v>70000</v>
      </c>
      <c r="H37" s="20" t="s">
        <v>181</v>
      </c>
    </row>
    <row r="38" customFormat="false" ht="15" hidden="false" customHeight="false" outlineLevel="0" collapsed="false">
      <c r="A38" s="7" t="n">
        <v>35</v>
      </c>
      <c r="B38" s="7" t="s">
        <v>182</v>
      </c>
      <c r="C38" s="18" t="n">
        <v>2</v>
      </c>
      <c r="D38" s="18" t="s">
        <v>115</v>
      </c>
      <c r="E38" s="18" t="n">
        <v>1</v>
      </c>
      <c r="F38" s="8" t="n">
        <v>40000</v>
      </c>
      <c r="G38" s="19" t="n">
        <f aca="false">E38*F38</f>
        <v>40000</v>
      </c>
      <c r="H38" s="20" t="s">
        <v>171</v>
      </c>
    </row>
    <row r="39" customFormat="false" ht="15" hidden="false" customHeight="false" outlineLevel="0" collapsed="false">
      <c r="A39" s="7" t="n">
        <v>36</v>
      </c>
      <c r="B39" s="7" t="s">
        <v>183</v>
      </c>
      <c r="C39" s="18" t="n">
        <v>2</v>
      </c>
      <c r="D39" s="18" t="s">
        <v>115</v>
      </c>
      <c r="E39" s="18" t="n">
        <v>1</v>
      </c>
      <c r="F39" s="8" t="n">
        <v>25000</v>
      </c>
      <c r="G39" s="19" t="n">
        <f aca="false">E39*F39</f>
        <v>25000</v>
      </c>
      <c r="H39" s="20" t="s">
        <v>184</v>
      </c>
    </row>
    <row r="40" customFormat="false" ht="15" hidden="false" customHeight="false" outlineLevel="0" collapsed="false">
      <c r="A40" s="16"/>
      <c r="B40" s="16"/>
      <c r="C40" s="16"/>
      <c r="D40" s="16"/>
      <c r="E40" s="16"/>
      <c r="F40" s="16"/>
      <c r="G40" s="16"/>
      <c r="H40" s="16"/>
    </row>
    <row r="41" customFormat="false" ht="15" hidden="false" customHeight="false" outlineLevel="0" collapsed="false">
      <c r="A41" s="16"/>
      <c r="B41" s="21" t="s">
        <v>185</v>
      </c>
      <c r="C41" s="16"/>
      <c r="D41" s="16"/>
      <c r="E41" s="16"/>
      <c r="F41" s="21" t="s">
        <v>186</v>
      </c>
      <c r="G41" s="21" t="s">
        <v>187</v>
      </c>
      <c r="H41" s="21" t="s">
        <v>112</v>
      </c>
    </row>
    <row r="42" customFormat="false" ht="15" hidden="false" customHeight="false" outlineLevel="0" collapsed="false">
      <c r="A42" s="16"/>
      <c r="B42" s="7" t="s">
        <v>188</v>
      </c>
      <c r="C42" s="16"/>
      <c r="D42" s="16"/>
      <c r="E42" s="16"/>
      <c r="F42" s="19" t="n">
        <f aca="false">SUMIFS($G$4:$G$39,$C$4:$C$39,1,$D$4:$D$39,"U")</f>
        <v>409500</v>
      </c>
      <c r="G42" s="19" t="n">
        <f aca="false">SUMIFS($G$4:$G$39,$C$4:$C$39,2,$D$4:$D$39,"U")</f>
        <v>700000</v>
      </c>
      <c r="H42" s="19" t="n">
        <f aca="false">F42+G42</f>
        <v>1109500</v>
      </c>
    </row>
    <row r="43" customFormat="false" ht="15" hidden="false" customHeight="false" outlineLevel="0" collapsed="false">
      <c r="A43" s="16"/>
      <c r="B43" s="7" t="s">
        <v>189</v>
      </c>
      <c r="C43" s="16"/>
      <c r="D43" s="16"/>
      <c r="E43" s="16"/>
      <c r="F43" s="19" t="n">
        <f aca="false">F42*$F$50</f>
        <v>49140</v>
      </c>
      <c r="G43" s="19" t="n">
        <f aca="false">G42*$F$50</f>
        <v>84000</v>
      </c>
      <c r="H43" s="19" t="n">
        <f aca="false">F43+G43</f>
        <v>133140</v>
      </c>
    </row>
    <row r="44" customFormat="false" ht="15" hidden="false" customHeight="false" outlineLevel="0" collapsed="false">
      <c r="A44" s="16"/>
      <c r="B44" s="7" t="s">
        <v>190</v>
      </c>
      <c r="C44" s="16"/>
      <c r="D44" s="16"/>
      <c r="E44" s="16"/>
      <c r="F44" s="19" t="n">
        <f aca="false">F42*$F$51</f>
        <v>61425</v>
      </c>
      <c r="G44" s="19" t="n">
        <f aca="false">G42*$F$51</f>
        <v>105000</v>
      </c>
      <c r="H44" s="19" t="n">
        <f aca="false">F44+G44</f>
        <v>166425</v>
      </c>
    </row>
    <row r="45" customFormat="false" ht="15" hidden="false" customHeight="false" outlineLevel="0" collapsed="false">
      <c r="A45" s="16"/>
      <c r="B45" s="7" t="s">
        <v>191</v>
      </c>
      <c r="C45" s="16"/>
      <c r="D45" s="16"/>
      <c r="E45" s="16"/>
      <c r="F45" s="19" t="n">
        <f aca="false">SUMIFS($G$4:$G$39,$C$4:$C$39,1,$D$4:$D$39,"B")</f>
        <v>140000</v>
      </c>
      <c r="G45" s="19" t="n">
        <f aca="false">SUMIFS($G$4:$G$39,$C$4:$C$39,2,$D$4:$D$39,"B")</f>
        <v>0</v>
      </c>
      <c r="H45" s="19" t="n">
        <f aca="false">F45+G45</f>
        <v>140000</v>
      </c>
    </row>
    <row r="46" customFormat="false" ht="15" hidden="false" customHeight="false" outlineLevel="0" collapsed="false">
      <c r="A46" s="16"/>
      <c r="B46" s="21" t="s">
        <v>192</v>
      </c>
      <c r="C46" s="16"/>
      <c r="D46" s="16"/>
      <c r="E46" s="16"/>
      <c r="F46" s="22" t="n">
        <f aca="false">SUM(F42:F45)</f>
        <v>660065</v>
      </c>
      <c r="G46" s="22" t="n">
        <f aca="false">SUM(G42:G45)</f>
        <v>889000</v>
      </c>
      <c r="H46" s="22" t="n">
        <f aca="false">F46+G46</f>
        <v>1549065</v>
      </c>
    </row>
    <row r="47" customFormat="false" ht="15" hidden="false" customHeight="false" outlineLevel="0" collapsed="false">
      <c r="A47" s="16"/>
      <c r="B47" s="7" t="s">
        <v>193</v>
      </c>
      <c r="C47" s="16"/>
      <c r="D47" s="16"/>
      <c r="E47" s="16"/>
      <c r="F47" s="19" t="n">
        <f aca="false">F46*$F$52</f>
        <v>66006.5</v>
      </c>
      <c r="G47" s="19" t="n">
        <f aca="false">G46*$F$52</f>
        <v>88900</v>
      </c>
      <c r="H47" s="19" t="n">
        <f aca="false">F47+G47</f>
        <v>154906.5</v>
      </c>
    </row>
    <row r="48" customFormat="false" ht="15" hidden="false" customHeight="false" outlineLevel="0" collapsed="false">
      <c r="A48" s="16"/>
      <c r="B48" s="23" t="s">
        <v>194</v>
      </c>
      <c r="C48" s="24"/>
      <c r="D48" s="24"/>
      <c r="E48" s="24"/>
      <c r="F48" s="25" t="n">
        <f aca="false">F46+F47</f>
        <v>726071.5</v>
      </c>
      <c r="G48" s="25" t="n">
        <f aca="false">G46+G47</f>
        <v>977900</v>
      </c>
      <c r="H48" s="25" t="n">
        <f aca="false">F48+G48</f>
        <v>1703971.5</v>
      </c>
    </row>
    <row r="49" customFormat="false" ht="15" hidden="false" customHeight="false" outlineLevel="0" collapsed="false">
      <c r="A49" s="16"/>
      <c r="B49" s="16"/>
      <c r="C49" s="16"/>
      <c r="D49" s="16"/>
      <c r="E49" s="16"/>
      <c r="F49" s="16"/>
      <c r="G49" s="16"/>
      <c r="H49" s="16"/>
    </row>
    <row r="50" customFormat="false" ht="15" hidden="false" customHeight="false" outlineLevel="0" collapsed="false">
      <c r="A50" s="16"/>
      <c r="B50" s="7" t="s">
        <v>195</v>
      </c>
      <c r="C50" s="16"/>
      <c r="D50" s="16"/>
      <c r="E50" s="16"/>
      <c r="F50" s="11" t="n">
        <v>0.12</v>
      </c>
      <c r="G50" s="16"/>
      <c r="H50" s="20" t="s">
        <v>196</v>
      </c>
    </row>
    <row r="51" customFormat="false" ht="15" hidden="false" customHeight="false" outlineLevel="0" collapsed="false">
      <c r="A51" s="16"/>
      <c r="B51" s="7" t="s">
        <v>197</v>
      </c>
      <c r="C51" s="16"/>
      <c r="D51" s="16"/>
      <c r="E51" s="16"/>
      <c r="F51" s="11" t="n">
        <v>0.15</v>
      </c>
      <c r="G51" s="16"/>
      <c r="H51" s="16"/>
    </row>
    <row r="52" customFormat="false" ht="15" hidden="false" customHeight="false" outlineLevel="0" collapsed="false">
      <c r="A52" s="16"/>
      <c r="B52" s="7" t="s">
        <v>198</v>
      </c>
      <c r="C52" s="16"/>
      <c r="D52" s="16"/>
      <c r="E52" s="16"/>
      <c r="F52" s="11" t="n">
        <v>0.1</v>
      </c>
      <c r="G52" s="16"/>
      <c r="H52" s="16"/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7"/>
    <col collapsed="false" customWidth="true" hidden="false" outlineLevel="0" max="7" min="7" style="0" width="40"/>
  </cols>
  <sheetData>
    <row r="1" customFormat="false" ht="24" hidden="false" customHeight="true" outlineLevel="0" collapsed="false">
      <c r="A1" s="1" t="s">
        <v>199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16"/>
      <c r="B2" s="16"/>
      <c r="C2" s="16"/>
      <c r="D2" s="16"/>
      <c r="E2" s="16"/>
      <c r="F2" s="16"/>
      <c r="G2" s="16"/>
    </row>
    <row r="3" customFormat="false" ht="26.85" hidden="false" customHeight="false" outlineLevel="0" collapsed="false">
      <c r="A3" s="4" t="s">
        <v>200</v>
      </c>
      <c r="B3" s="4" t="s">
        <v>201</v>
      </c>
      <c r="C3" s="4" t="s">
        <v>202</v>
      </c>
      <c r="D3" s="4" t="s">
        <v>203</v>
      </c>
      <c r="E3" s="4" t="s">
        <v>204</v>
      </c>
      <c r="F3" s="4" t="s">
        <v>205</v>
      </c>
      <c r="G3" s="4" t="s">
        <v>206</v>
      </c>
    </row>
    <row r="4" customFormat="false" ht="15" hidden="false" customHeight="false" outlineLevel="0" collapsed="false">
      <c r="A4" s="7" t="s">
        <v>207</v>
      </c>
      <c r="B4" s="10" t="n">
        <v>1</v>
      </c>
      <c r="C4" s="10" t="n">
        <v>1</v>
      </c>
      <c r="D4" s="8" t="n">
        <v>1500</v>
      </c>
      <c r="E4" s="26" t="n">
        <f aca="false">B4*D4*12</f>
        <v>18000</v>
      </c>
      <c r="F4" s="26" t="n">
        <f aca="false">C4*D4*12</f>
        <v>18000</v>
      </c>
      <c r="G4" s="20"/>
    </row>
    <row r="5" customFormat="false" ht="15" hidden="false" customHeight="false" outlineLevel="0" collapsed="false">
      <c r="A5" s="7" t="s">
        <v>208</v>
      </c>
      <c r="B5" s="10" t="n">
        <v>1</v>
      </c>
      <c r="C5" s="10" t="n">
        <v>1</v>
      </c>
      <c r="D5" s="8" t="n">
        <v>1200</v>
      </c>
      <c r="E5" s="26" t="n">
        <f aca="false">B5*D5*12</f>
        <v>14400</v>
      </c>
      <c r="F5" s="26" t="n">
        <f aca="false">C5*D5*12</f>
        <v>14400</v>
      </c>
      <c r="G5" s="20" t="s">
        <v>209</v>
      </c>
    </row>
    <row r="6" customFormat="false" ht="15" hidden="false" customHeight="false" outlineLevel="0" collapsed="false">
      <c r="A6" s="7" t="s">
        <v>210</v>
      </c>
      <c r="B6" s="10" t="n">
        <v>2</v>
      </c>
      <c r="C6" s="10" t="n">
        <v>3</v>
      </c>
      <c r="D6" s="8" t="n">
        <v>700</v>
      </c>
      <c r="E6" s="26" t="n">
        <f aca="false">B6*D6*12</f>
        <v>16800</v>
      </c>
      <c r="F6" s="26" t="n">
        <f aca="false">C6*D6*12</f>
        <v>25200</v>
      </c>
      <c r="G6" s="20" t="s">
        <v>211</v>
      </c>
    </row>
    <row r="7" customFormat="false" ht="15" hidden="false" customHeight="false" outlineLevel="0" collapsed="false">
      <c r="A7" s="7" t="s">
        <v>212</v>
      </c>
      <c r="B7" s="10" t="n">
        <v>2</v>
      </c>
      <c r="C7" s="10" t="n">
        <v>8</v>
      </c>
      <c r="D7" s="8" t="n">
        <v>550</v>
      </c>
      <c r="E7" s="26" t="n">
        <f aca="false">B7*D7*12</f>
        <v>13200</v>
      </c>
      <c r="F7" s="26" t="n">
        <f aca="false">C7*D7*12</f>
        <v>52800</v>
      </c>
      <c r="G7" s="20" t="s">
        <v>213</v>
      </c>
    </row>
    <row r="8" customFormat="false" ht="15" hidden="false" customHeight="false" outlineLevel="0" collapsed="false">
      <c r="A8" s="7" t="s">
        <v>214</v>
      </c>
      <c r="B8" s="10" t="n">
        <v>6</v>
      </c>
      <c r="C8" s="10" t="n">
        <v>9</v>
      </c>
      <c r="D8" s="8" t="n">
        <v>550</v>
      </c>
      <c r="E8" s="26" t="n">
        <f aca="false">B8*D8*12</f>
        <v>39600</v>
      </c>
      <c r="F8" s="26" t="n">
        <f aca="false">C8*D8*12</f>
        <v>59400</v>
      </c>
      <c r="G8" s="20" t="s">
        <v>215</v>
      </c>
    </row>
    <row r="9" customFormat="false" ht="15" hidden="false" customHeight="false" outlineLevel="0" collapsed="false">
      <c r="A9" s="7" t="s">
        <v>216</v>
      </c>
      <c r="B9" s="10" t="n">
        <v>3</v>
      </c>
      <c r="C9" s="10" t="n">
        <v>6</v>
      </c>
      <c r="D9" s="8" t="n">
        <v>450</v>
      </c>
      <c r="E9" s="26" t="n">
        <f aca="false">B9*D9*12</f>
        <v>16200</v>
      </c>
      <c r="F9" s="26" t="n">
        <f aca="false">C9*D9*12</f>
        <v>32400</v>
      </c>
      <c r="G9" s="20"/>
    </row>
    <row r="10" customFormat="false" ht="15" hidden="false" customHeight="false" outlineLevel="0" collapsed="false">
      <c r="A10" s="7" t="s">
        <v>217</v>
      </c>
      <c r="B10" s="10" t="n">
        <v>1</v>
      </c>
      <c r="C10" s="10" t="n">
        <v>2</v>
      </c>
      <c r="D10" s="8" t="n">
        <v>600</v>
      </c>
      <c r="E10" s="26" t="n">
        <f aca="false">B10*D10*12</f>
        <v>7200</v>
      </c>
      <c r="F10" s="26" t="n">
        <f aca="false">C10*D10*12</f>
        <v>14400</v>
      </c>
      <c r="G10" s="20"/>
    </row>
    <row r="11" customFormat="false" ht="15" hidden="false" customHeight="false" outlineLevel="0" collapsed="false">
      <c r="A11" s="7" t="s">
        <v>218</v>
      </c>
      <c r="B11" s="10" t="n">
        <v>1</v>
      </c>
      <c r="C11" s="10" t="n">
        <v>1</v>
      </c>
      <c r="D11" s="8" t="n">
        <v>650</v>
      </c>
      <c r="E11" s="26" t="n">
        <f aca="false">B11*D11*12</f>
        <v>7800</v>
      </c>
      <c r="F11" s="26" t="n">
        <f aca="false">C11*D11*12</f>
        <v>7800</v>
      </c>
      <c r="G11" s="20" t="s">
        <v>219</v>
      </c>
    </row>
    <row r="12" customFormat="false" ht="15" hidden="false" customHeight="false" outlineLevel="0" collapsed="false">
      <c r="A12" s="7" t="s">
        <v>220</v>
      </c>
      <c r="B12" s="10" t="n">
        <v>1</v>
      </c>
      <c r="C12" s="10" t="n">
        <v>2</v>
      </c>
      <c r="D12" s="8" t="n">
        <v>700</v>
      </c>
      <c r="E12" s="26" t="n">
        <f aca="false">B12*D12*12</f>
        <v>8400</v>
      </c>
      <c r="F12" s="26" t="n">
        <f aca="false">C12*D12*12</f>
        <v>16800</v>
      </c>
      <c r="G12" s="20" t="s">
        <v>221</v>
      </c>
    </row>
    <row r="13" customFormat="false" ht="15" hidden="false" customHeight="false" outlineLevel="0" collapsed="false">
      <c r="A13" s="7" t="s">
        <v>222</v>
      </c>
      <c r="B13" s="10" t="n">
        <v>1</v>
      </c>
      <c r="C13" s="10" t="n">
        <v>1</v>
      </c>
      <c r="D13" s="8" t="n">
        <v>700</v>
      </c>
      <c r="E13" s="26" t="n">
        <f aca="false">B13*D13*12</f>
        <v>8400</v>
      </c>
      <c r="F13" s="26" t="n">
        <f aca="false">C13*D13*12</f>
        <v>8400</v>
      </c>
      <c r="G13" s="20"/>
    </row>
    <row r="14" customFormat="false" ht="15" hidden="false" customHeight="false" outlineLevel="0" collapsed="false">
      <c r="A14" s="7" t="s">
        <v>223</v>
      </c>
      <c r="B14" s="10" t="n">
        <v>1</v>
      </c>
      <c r="C14" s="10" t="n">
        <v>1</v>
      </c>
      <c r="D14" s="8" t="n">
        <v>450</v>
      </c>
      <c r="E14" s="26" t="n">
        <f aca="false">B14*D14*12</f>
        <v>5400</v>
      </c>
      <c r="F14" s="26" t="n">
        <f aca="false">C14*D14*12</f>
        <v>5400</v>
      </c>
      <c r="G14" s="20"/>
    </row>
    <row r="15" customFormat="false" ht="15" hidden="false" customHeight="false" outlineLevel="0" collapsed="false">
      <c r="A15" s="21" t="s">
        <v>224</v>
      </c>
      <c r="B15" s="27" t="n">
        <f aca="false">SUM(B4:B14)</f>
        <v>20</v>
      </c>
      <c r="C15" s="27" t="n">
        <f aca="false">SUM(C4:C14)</f>
        <v>35</v>
      </c>
      <c r="D15" s="16"/>
      <c r="E15" s="22" t="n">
        <f aca="false">SUM(E4:E14)</f>
        <v>155400</v>
      </c>
      <c r="F15" s="22" t="n">
        <f aca="false">SUM(F4:F14)</f>
        <v>255000</v>
      </c>
      <c r="G15" s="16"/>
    </row>
    <row r="16" customFormat="false" ht="15" hidden="false" customHeight="false" outlineLevel="0" collapsed="false">
      <c r="A16" s="21" t="s">
        <v>225</v>
      </c>
      <c r="B16" s="16"/>
      <c r="C16" s="16"/>
      <c r="D16" s="16"/>
      <c r="E16" s="25" t="n">
        <f aca="false">E15*(1+Kirish!$B$9)</f>
        <v>174048</v>
      </c>
      <c r="F16" s="25" t="n">
        <f aca="false">F15*(1+Kirish!$B$9)</f>
        <v>285600</v>
      </c>
      <c r="G16" s="16"/>
    </row>
    <row r="17" customFormat="false" ht="15" hidden="false" customHeight="false" outlineLevel="0" collapsed="false">
      <c r="A17" s="16"/>
      <c r="B17" s="16"/>
      <c r="C17" s="16"/>
      <c r="D17" s="16"/>
      <c r="E17" s="16"/>
      <c r="F17" s="16"/>
      <c r="G17" s="16"/>
    </row>
    <row r="18" customFormat="false" ht="15" hidden="false" customHeight="false" outlineLevel="0" collapsed="false">
      <c r="A18" s="28" t="s">
        <v>226</v>
      </c>
      <c r="B18" s="16"/>
      <c r="C18" s="16"/>
      <c r="D18" s="16"/>
      <c r="E18" s="16"/>
      <c r="F18" s="16"/>
      <c r="G18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0"/>
  </cols>
  <sheetData>
    <row r="1" customFormat="false" ht="24" hidden="false" customHeight="true" outlineLevel="0" collapsed="false">
      <c r="A1" s="1" t="s">
        <v>227</v>
      </c>
      <c r="B1" s="2"/>
      <c r="C1" s="2"/>
      <c r="D1" s="2"/>
    </row>
    <row r="2" customFormat="false" ht="15" hidden="false" customHeight="false" outlineLevel="0" collapsed="false">
      <c r="A2" s="16"/>
      <c r="B2" s="16"/>
      <c r="C2" s="16"/>
      <c r="D2" s="16"/>
    </row>
    <row r="3" customFormat="false" ht="15" hidden="false" customHeight="false" outlineLevel="0" collapsed="false">
      <c r="A3" s="4" t="s">
        <v>228</v>
      </c>
      <c r="B3" s="4" t="s">
        <v>229</v>
      </c>
      <c r="C3" s="4" t="s">
        <v>28</v>
      </c>
      <c r="D3" s="4" t="s">
        <v>230</v>
      </c>
    </row>
    <row r="4" customFormat="false" ht="15" hidden="false" customHeight="false" outlineLevel="0" collapsed="false">
      <c r="A4" s="5" t="s">
        <v>231</v>
      </c>
      <c r="B4" s="6"/>
      <c r="C4" s="6"/>
      <c r="D4" s="6"/>
    </row>
    <row r="5" customFormat="false" ht="15" hidden="false" customHeight="false" outlineLevel="0" collapsed="false">
      <c r="A5" s="16" t="s">
        <v>232</v>
      </c>
      <c r="B5" s="29" t="s">
        <v>233</v>
      </c>
      <c r="C5" s="26" t="n">
        <f aca="false">1/Kirish!$B$12*Kirish!$B$13</f>
        <v>909.090909090909</v>
      </c>
      <c r="D5" s="30" t="n">
        <f aca="false">C5/$C$12</f>
        <v>0.355008579374002</v>
      </c>
    </row>
    <row r="6" customFormat="false" ht="15" hidden="false" customHeight="false" outlineLevel="0" collapsed="false">
      <c r="A6" s="16" t="s">
        <v>234</v>
      </c>
      <c r="B6" s="29"/>
      <c r="C6" s="26" t="n">
        <f aca="false">Kirish!$B$14</f>
        <v>120</v>
      </c>
      <c r="D6" s="30" t="n">
        <f aca="false">C6/$C$12</f>
        <v>0.0468611324773682</v>
      </c>
    </row>
    <row r="7" customFormat="false" ht="15" hidden="false" customHeight="false" outlineLevel="0" collapsed="false">
      <c r="A7" s="16" t="s">
        <v>235</v>
      </c>
      <c r="B7" s="29"/>
      <c r="C7" s="26" t="n">
        <f aca="false">Kirish!$B$15</f>
        <v>300</v>
      </c>
      <c r="D7" s="30" t="n">
        <f aca="false">C7/$C$12</f>
        <v>0.117152831193421</v>
      </c>
    </row>
    <row r="8" customFormat="false" ht="15" hidden="false" customHeight="false" outlineLevel="0" collapsed="false">
      <c r="A8" s="16" t="s">
        <v>236</v>
      </c>
      <c r="B8" s="29" t="s">
        <v>237</v>
      </c>
      <c r="C8" s="26" t="n">
        <f aca="false">Kirish!$B$16*Kirish!$B$49</f>
        <v>825</v>
      </c>
      <c r="D8" s="30" t="n">
        <f aca="false">C8/$C$12</f>
        <v>0.322170285781906</v>
      </c>
    </row>
    <row r="9" customFormat="false" ht="15" hidden="false" customHeight="false" outlineLevel="0" collapsed="false">
      <c r="A9" s="16" t="s">
        <v>238</v>
      </c>
      <c r="B9" s="29" t="s">
        <v>239</v>
      </c>
      <c r="C9" s="26" t="n">
        <f aca="false">Kirish!$B$17*Kirish!$B$50</f>
        <v>316.666666666667</v>
      </c>
      <c r="D9" s="30" t="n">
        <f aca="false">C9/$C$12</f>
        <v>0.123661321815277</v>
      </c>
    </row>
    <row r="10" customFormat="false" ht="15" hidden="false" customHeight="false" outlineLevel="0" collapsed="false">
      <c r="A10" s="16" t="s">
        <v>240</v>
      </c>
      <c r="B10" s="29"/>
      <c r="C10" s="26" t="n">
        <f aca="false">Kirish!$B$18</f>
        <v>60</v>
      </c>
      <c r="D10" s="30" t="n">
        <f aca="false">C10/$C$12</f>
        <v>0.0234305662386841</v>
      </c>
    </row>
    <row r="11" customFormat="false" ht="15" hidden="false" customHeight="false" outlineLevel="0" collapsed="false">
      <c r="A11" s="16" t="s">
        <v>241</v>
      </c>
      <c r="B11" s="29"/>
      <c r="C11" s="26" t="n">
        <f aca="false">Kirish!$B$19</f>
        <v>30</v>
      </c>
      <c r="D11" s="30" t="n">
        <f aca="false">C11/$C$12</f>
        <v>0.0117152831193421</v>
      </c>
    </row>
    <row r="12" customFormat="false" ht="15" hidden="false" customHeight="false" outlineLevel="0" collapsed="false">
      <c r="A12" s="21" t="s">
        <v>242</v>
      </c>
      <c r="B12" s="16"/>
      <c r="C12" s="25" t="n">
        <f aca="false">SUM(C5:C11)</f>
        <v>2560.75757575758</v>
      </c>
      <c r="D12" s="16"/>
    </row>
    <row r="13" customFormat="false" ht="15" hidden="false" customHeight="false" outlineLevel="0" collapsed="false">
      <c r="A13" s="16"/>
      <c r="B13" s="16"/>
      <c r="C13" s="16"/>
      <c r="D13" s="16"/>
    </row>
    <row r="14" customFormat="false" ht="15" hidden="false" customHeight="false" outlineLevel="0" collapsed="false">
      <c r="A14" s="5" t="s">
        <v>243</v>
      </c>
      <c r="B14" s="6"/>
      <c r="C14" s="6"/>
      <c r="D14" s="6"/>
    </row>
    <row r="15" customFormat="false" ht="15" hidden="false" customHeight="false" outlineLevel="0" collapsed="false">
      <c r="A15" s="16" t="s">
        <v>244</v>
      </c>
      <c r="B15" s="16"/>
      <c r="C15" s="11" t="n">
        <v>0.065</v>
      </c>
      <c r="D15" s="16"/>
    </row>
    <row r="16" customFormat="false" ht="15" hidden="false" customHeight="false" outlineLevel="0" collapsed="false">
      <c r="A16" s="16" t="s">
        <v>245</v>
      </c>
      <c r="B16" s="29" t="s">
        <v>246</v>
      </c>
      <c r="C16" s="26" t="n">
        <f aca="false">(1-$C$15-Kirish!$B$24)*Kirish!$B$25*Kirish!$B$21*(1+Kirish!$B$26)</f>
        <v>1098.846</v>
      </c>
      <c r="D16" s="30" t="n">
        <f aca="false">C16/$C$22</f>
        <v>0.500549427813128</v>
      </c>
    </row>
    <row r="17" customFormat="false" ht="15" hidden="false" customHeight="false" outlineLevel="0" collapsed="false">
      <c r="A17" s="16" t="s">
        <v>247</v>
      </c>
      <c r="B17" s="29"/>
      <c r="C17" s="26" t="n">
        <f aca="false">(1-$C$15-Kirish!$B$24)*(1-Kirish!$B$25)*Kirish!$B$22*(1+Kirish!$B$26)</f>
        <v>653.562</v>
      </c>
      <c r="D17" s="30" t="n">
        <f aca="false">C17/$C$22</f>
        <v>0.297712404777743</v>
      </c>
    </row>
    <row r="18" customFormat="false" ht="15" hidden="false" customHeight="false" outlineLevel="0" collapsed="false">
      <c r="A18" s="16" t="s">
        <v>248</v>
      </c>
      <c r="B18" s="29"/>
      <c r="C18" s="26" t="n">
        <f aca="false">Kirish!$B$24*Kirish!$B$23*(1+Kirish!$B$26)</f>
        <v>75.6</v>
      </c>
      <c r="D18" s="30" t="n">
        <f aca="false">C18/$C$22</f>
        <v>0.0344375251333421</v>
      </c>
    </row>
    <row r="19" customFormat="false" ht="15" hidden="false" customHeight="false" outlineLevel="0" collapsed="false">
      <c r="A19" s="16" t="s">
        <v>249</v>
      </c>
      <c r="B19" s="29"/>
      <c r="C19" s="26" t="n">
        <f aca="false">$C$15*Tannarx!$C$12*(1+Kirish!$B$26)</f>
        <v>174.771704545455</v>
      </c>
      <c r="D19" s="30" t="n">
        <f aca="false">C19/$C$22</f>
        <v>0.0796124995751473</v>
      </c>
    </row>
    <row r="20" customFormat="false" ht="15" hidden="false" customHeight="false" outlineLevel="0" collapsed="false">
      <c r="A20" s="16" t="s">
        <v>236</v>
      </c>
      <c r="B20" s="29"/>
      <c r="C20" s="26" t="n">
        <f aca="false">Kirish!$B$27*Kirish!$B$49</f>
        <v>82.5</v>
      </c>
      <c r="D20" s="30" t="n">
        <f aca="false">C20/$C$22</f>
        <v>0.0375806325859884</v>
      </c>
    </row>
    <row r="21" customFormat="false" ht="15" hidden="false" customHeight="false" outlineLevel="0" collapsed="false">
      <c r="A21" s="16" t="s">
        <v>58</v>
      </c>
      <c r="B21" s="29"/>
      <c r="C21" s="26" t="n">
        <f aca="false">Kirish!$B$28</f>
        <v>110</v>
      </c>
      <c r="D21" s="30" t="n">
        <f aca="false">C21/$C$22</f>
        <v>0.0501075101146513</v>
      </c>
    </row>
    <row r="22" customFormat="false" ht="15" hidden="false" customHeight="false" outlineLevel="0" collapsed="false">
      <c r="A22" s="21" t="s">
        <v>250</v>
      </c>
      <c r="B22" s="16"/>
      <c r="C22" s="25" t="n">
        <f aca="false">SUM(C16:C21)</f>
        <v>2195.27970454546</v>
      </c>
      <c r="D22" s="16"/>
    </row>
    <row r="23" customFormat="false" ht="15" hidden="false" customHeight="false" outlineLevel="0" collapsed="false">
      <c r="A23" s="16" t="s">
        <v>251</v>
      </c>
      <c r="B23" s="16"/>
      <c r="C23" s="26" t="n">
        <f aca="false">Kirish!$B$30</f>
        <v>3900</v>
      </c>
      <c r="D23" s="16"/>
    </row>
    <row r="24" customFormat="false" ht="15" hidden="false" customHeight="false" outlineLevel="0" collapsed="false">
      <c r="A24" s="21" t="s">
        <v>252</v>
      </c>
      <c r="B24" s="16"/>
      <c r="C24" s="22" t="n">
        <f aca="false">C23-C22</f>
        <v>1704.72029545455</v>
      </c>
      <c r="D24" s="30" t="n">
        <f aca="false">C24/C23</f>
        <v>0.437107768065268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9" min="2" style="0" width="13"/>
    <col collapsed="false" customWidth="true" hidden="false" outlineLevel="0" max="10" min="10" style="0" width="60"/>
  </cols>
  <sheetData>
    <row r="1" customFormat="false" ht="24" hidden="false" customHeight="true" outlineLevel="0" collapsed="false">
      <c r="A1" s="1" t="s">
        <v>253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16"/>
      <c r="B2" s="16"/>
      <c r="C2" s="16"/>
      <c r="D2" s="16"/>
      <c r="E2" s="16"/>
      <c r="F2" s="16"/>
      <c r="G2" s="16"/>
      <c r="H2" s="16"/>
      <c r="I2" s="16"/>
      <c r="J2" s="16"/>
    </row>
    <row r="3" customFormat="false" ht="30" hidden="false" customHeight="true" outlineLevel="0" collapsed="false">
      <c r="A3" s="4" t="s">
        <v>2</v>
      </c>
      <c r="B3" s="4" t="s">
        <v>254</v>
      </c>
      <c r="C3" s="4" t="s">
        <v>255</v>
      </c>
      <c r="D3" s="4" t="s">
        <v>256</v>
      </c>
      <c r="E3" s="4" t="s">
        <v>257</v>
      </c>
      <c r="F3" s="4" t="s">
        <v>258</v>
      </c>
      <c r="G3" s="4" t="s">
        <v>259</v>
      </c>
      <c r="H3" s="4" t="s">
        <v>260</v>
      </c>
      <c r="I3" s="4" t="s">
        <v>261</v>
      </c>
      <c r="J3" s="4" t="s">
        <v>206</v>
      </c>
    </row>
    <row r="4" customFormat="false" ht="15" hidden="false" customHeight="false" outlineLevel="0" collapsed="false">
      <c r="A4" s="5" t="s">
        <v>262</v>
      </c>
      <c r="B4" s="6"/>
      <c r="C4" s="6"/>
      <c r="D4" s="6"/>
      <c r="E4" s="6"/>
      <c r="F4" s="6"/>
      <c r="G4" s="6"/>
      <c r="H4" s="6"/>
      <c r="I4" s="6"/>
      <c r="J4" s="6"/>
    </row>
    <row r="5" customFormat="false" ht="15" hidden="false" customHeight="false" outlineLevel="0" collapsed="false">
      <c r="A5" s="7" t="s">
        <v>263</v>
      </c>
      <c r="B5" s="10" t="n">
        <v>0</v>
      </c>
      <c r="C5" s="10" t="n">
        <v>300</v>
      </c>
      <c r="D5" s="10" t="n">
        <v>600</v>
      </c>
      <c r="E5" s="10" t="n">
        <v>800</v>
      </c>
      <c r="F5" s="10" t="n">
        <v>850</v>
      </c>
      <c r="G5" s="10" t="n">
        <v>850</v>
      </c>
      <c r="H5" s="10" t="n">
        <v>850</v>
      </c>
      <c r="I5" s="10" t="n">
        <v>850</v>
      </c>
      <c r="J5" s="29" t="s">
        <v>264</v>
      </c>
    </row>
    <row r="6" customFormat="false" ht="15" hidden="false" customHeight="false" outlineLevel="0" collapsed="false">
      <c r="A6" s="7" t="s">
        <v>265</v>
      </c>
      <c r="B6" s="31" t="n">
        <v>0</v>
      </c>
      <c r="C6" s="31" t="n">
        <v>3</v>
      </c>
      <c r="D6" s="31" t="n">
        <v>25</v>
      </c>
      <c r="E6" s="31" t="n">
        <v>55</v>
      </c>
      <c r="F6" s="31" t="n">
        <v>58</v>
      </c>
      <c r="G6" s="31" t="n">
        <v>58</v>
      </c>
      <c r="H6" s="31" t="n">
        <v>58</v>
      </c>
      <c r="I6" s="31" t="n">
        <v>58</v>
      </c>
      <c r="J6" s="29" t="s">
        <v>266</v>
      </c>
    </row>
    <row r="7" customFormat="false" ht="15" hidden="false" customHeight="false" outlineLevel="0" collapsed="false">
      <c r="A7" s="7" t="s">
        <v>267</v>
      </c>
      <c r="B7" s="11" t="n">
        <v>0</v>
      </c>
      <c r="C7" s="11" t="n">
        <v>0.01</v>
      </c>
      <c r="D7" s="11" t="n">
        <v>0.04</v>
      </c>
      <c r="E7" s="11" t="n">
        <v>0.065</v>
      </c>
      <c r="F7" s="11" t="n">
        <v>0.065</v>
      </c>
      <c r="G7" s="11" t="n">
        <v>0.065</v>
      </c>
      <c r="H7" s="11" t="n">
        <v>0.065</v>
      </c>
      <c r="I7" s="11" t="n">
        <v>0.065</v>
      </c>
      <c r="J7" s="29" t="s">
        <v>268</v>
      </c>
    </row>
    <row r="8" customFormat="false" ht="15" hidden="false" customHeight="false" outlineLevel="0" collapsed="false">
      <c r="A8" s="7" t="s">
        <v>269</v>
      </c>
      <c r="B8" s="32" t="n">
        <f aca="false">B5*B7</f>
        <v>0</v>
      </c>
      <c r="C8" s="32" t="n">
        <f aca="false">C5*C7</f>
        <v>3</v>
      </c>
      <c r="D8" s="32" t="n">
        <f aca="false">D5*D7</f>
        <v>24</v>
      </c>
      <c r="E8" s="32" t="n">
        <f aca="false">E5*E7</f>
        <v>52</v>
      </c>
      <c r="F8" s="32" t="n">
        <f aca="false">F5*F7</f>
        <v>55.25</v>
      </c>
      <c r="G8" s="32" t="n">
        <f aca="false">G5*G7</f>
        <v>55.25</v>
      </c>
      <c r="H8" s="32" t="n">
        <f aca="false">H5*H7</f>
        <v>55.25</v>
      </c>
      <c r="I8" s="32" t="n">
        <f aca="false">I5*I7</f>
        <v>55.25</v>
      </c>
      <c r="J8" s="16"/>
    </row>
    <row r="9" customFormat="false" ht="15" hidden="false" customHeight="false" outlineLevel="0" collapsed="false">
      <c r="A9" s="7" t="s">
        <v>270</v>
      </c>
      <c r="B9" s="32" t="n">
        <f aca="false">MAX(0,B6-B8)</f>
        <v>0</v>
      </c>
      <c r="C9" s="32" t="n">
        <f aca="false">MAX(0,C6-C8)</f>
        <v>0</v>
      </c>
      <c r="D9" s="32" t="n">
        <f aca="false">MAX(0,D6-D8)</f>
        <v>1</v>
      </c>
      <c r="E9" s="32" t="n">
        <f aca="false">MAX(0,E6-E8)</f>
        <v>3</v>
      </c>
      <c r="F9" s="32" t="n">
        <f aca="false">MAX(0,F6-F8)</f>
        <v>2.75</v>
      </c>
      <c r="G9" s="32" t="n">
        <f aca="false">MAX(0,G6-G8)</f>
        <v>2.75</v>
      </c>
      <c r="H9" s="32" t="n">
        <f aca="false">MAX(0,H6-H8)</f>
        <v>2.75</v>
      </c>
      <c r="I9" s="32" t="n">
        <f aca="false">MAX(0,I6-I8)</f>
        <v>2.75</v>
      </c>
      <c r="J9" s="29" t="s">
        <v>271</v>
      </c>
    </row>
    <row r="10" customFormat="false" ht="15" hidden="false" customHeight="false" outlineLevel="0" collapsed="false">
      <c r="A10" s="7" t="s">
        <v>272</v>
      </c>
      <c r="B10" s="32" t="n">
        <f aca="false">MAX(0,B8-B6)</f>
        <v>0</v>
      </c>
      <c r="C10" s="32" t="n">
        <f aca="false">MAX(0,C8-C6)</f>
        <v>0</v>
      </c>
      <c r="D10" s="32" t="n">
        <f aca="false">MAX(0,D8-D6)</f>
        <v>0</v>
      </c>
      <c r="E10" s="32" t="n">
        <f aca="false">MAX(0,E8-E6)</f>
        <v>0</v>
      </c>
      <c r="F10" s="32" t="n">
        <f aca="false">MAX(0,F8-F6)</f>
        <v>0</v>
      </c>
      <c r="G10" s="32" t="n">
        <f aca="false">MAX(0,G8-G6)</f>
        <v>0</v>
      </c>
      <c r="H10" s="32" t="n">
        <f aca="false">MAX(0,H8-H6)</f>
        <v>0</v>
      </c>
      <c r="I10" s="32" t="n">
        <f aca="false">MAX(0,I8-I6)</f>
        <v>0</v>
      </c>
      <c r="J10" s="16"/>
    </row>
    <row r="11" customFormat="false" ht="15" hidden="false" customHeight="false" outlineLevel="0" collapsed="false">
      <c r="A11" s="5" t="s">
        <v>273</v>
      </c>
      <c r="B11" s="6"/>
      <c r="C11" s="6"/>
      <c r="D11" s="6"/>
      <c r="E11" s="6"/>
      <c r="F11" s="6"/>
      <c r="G11" s="6"/>
      <c r="H11" s="6"/>
      <c r="I11" s="6"/>
      <c r="J11" s="6"/>
    </row>
    <row r="12" customFormat="false" ht="15" hidden="false" customHeight="false" outlineLevel="0" collapsed="false">
      <c r="A12" s="7" t="s">
        <v>274</v>
      </c>
      <c r="B12" s="19" t="n">
        <f aca="false">B5*Kirish!$B$30</f>
        <v>0</v>
      </c>
      <c r="C12" s="19" t="n">
        <f aca="false">C5*Kirish!$B$30</f>
        <v>1170000</v>
      </c>
      <c r="D12" s="19" t="n">
        <f aca="false">D5*Kirish!$B$30</f>
        <v>2340000</v>
      </c>
      <c r="E12" s="19" t="n">
        <f aca="false">E5*Kirish!$B$30</f>
        <v>3120000</v>
      </c>
      <c r="F12" s="19" t="n">
        <f aca="false">F5*Kirish!$B$30</f>
        <v>3315000</v>
      </c>
      <c r="G12" s="19" t="n">
        <f aca="false">G5*Kirish!$B$30</f>
        <v>3315000</v>
      </c>
      <c r="H12" s="19" t="n">
        <f aca="false">H5*Kirish!$B$30</f>
        <v>3315000</v>
      </c>
      <c r="I12" s="19" t="n">
        <f aca="false">I5*Kirish!$B$30</f>
        <v>3315000</v>
      </c>
      <c r="J12" s="16"/>
    </row>
    <row r="13" customFormat="false" ht="15" hidden="false" customHeight="false" outlineLevel="0" collapsed="false">
      <c r="A13" s="7" t="s">
        <v>275</v>
      </c>
      <c r="B13" s="19" t="n">
        <f aca="false">B9*Kirish!$B$31</f>
        <v>0</v>
      </c>
      <c r="C13" s="19" t="n">
        <f aca="false">C9*Kirish!$B$31</f>
        <v>0</v>
      </c>
      <c r="D13" s="19" t="n">
        <f aca="false">D9*Kirish!$B$31</f>
        <v>4500</v>
      </c>
      <c r="E13" s="19" t="n">
        <f aca="false">E9*Kirish!$B$31</f>
        <v>13500</v>
      </c>
      <c r="F13" s="19" t="n">
        <f aca="false">F9*Kirish!$B$31</f>
        <v>12375</v>
      </c>
      <c r="G13" s="19" t="n">
        <f aca="false">G9*Kirish!$B$31</f>
        <v>12375</v>
      </c>
      <c r="H13" s="19" t="n">
        <f aca="false">H9*Kirish!$B$31</f>
        <v>12375</v>
      </c>
      <c r="I13" s="19" t="n">
        <f aca="false">I9*Kirish!$B$31</f>
        <v>12375</v>
      </c>
      <c r="J13" s="16"/>
    </row>
    <row r="14" customFormat="false" ht="15" hidden="false" customHeight="false" outlineLevel="0" collapsed="false">
      <c r="A14" s="21" t="s">
        <v>276</v>
      </c>
      <c r="B14" s="25" t="n">
        <f aca="false">B12+B13</f>
        <v>0</v>
      </c>
      <c r="C14" s="25" t="n">
        <f aca="false">C12+C13</f>
        <v>1170000</v>
      </c>
      <c r="D14" s="25" t="n">
        <f aca="false">D12+D13</f>
        <v>2344500</v>
      </c>
      <c r="E14" s="25" t="n">
        <f aca="false">E12+E13</f>
        <v>3133500</v>
      </c>
      <c r="F14" s="25" t="n">
        <f aca="false">F12+F13</f>
        <v>3327375</v>
      </c>
      <c r="G14" s="25" t="n">
        <f aca="false">G12+G13</f>
        <v>3327375</v>
      </c>
      <c r="H14" s="25" t="n">
        <f aca="false">H12+H13</f>
        <v>3327375</v>
      </c>
      <c r="I14" s="25" t="n">
        <f aca="false">I12+I13</f>
        <v>3327375</v>
      </c>
      <c r="J14" s="16"/>
    </row>
    <row r="15" customFormat="false" ht="15" hidden="false" customHeight="false" outlineLevel="0" collapsed="false">
      <c r="A15" s="5" t="s">
        <v>277</v>
      </c>
      <c r="B15" s="6"/>
      <c r="C15" s="6"/>
      <c r="D15" s="6"/>
      <c r="E15" s="6"/>
      <c r="F15" s="6"/>
      <c r="G15" s="6"/>
      <c r="H15" s="6"/>
      <c r="I15" s="6"/>
      <c r="J15" s="6"/>
    </row>
    <row r="16" customFormat="false" ht="15" hidden="false" customHeight="false" outlineLevel="0" collapsed="false">
      <c r="A16" s="7" t="s">
        <v>278</v>
      </c>
      <c r="B16" s="19" t="n">
        <f aca="false">B5*(((1-B7-Kirish!$B$24)*(Kirish!$B$25*Kirish!$B$21+(1-Kirish!$B$25)*Kirish!$B$22)+Kirish!$B$24*Kirish!$B$23)*(1+Kirish!$B$26)+Kirish!$B$27*Kirish!$B$49+Kirish!$B$28)</f>
        <v>0</v>
      </c>
      <c r="C16" s="19" t="n">
        <f aca="false">C5*(((1-C7-Kirish!$B$24)*(Kirish!$B$25*Kirish!$B$21+(1-Kirish!$B$25)*Kirish!$B$22)+Kirish!$B$24*Kirish!$B$23)*(1+Kirish!$B$26)+Kirish!$B$27*Kirish!$B$49+Kirish!$B$28)</f>
        <v>639970.8</v>
      </c>
      <c r="D16" s="19" t="n">
        <f aca="false">D5*(((1-D7-Kirish!$B$24)*(Kirish!$B$25*Kirish!$B$21+(1-Kirish!$B$25)*Kirish!$B$22)+Kirish!$B$24*Kirish!$B$23)*(1+Kirish!$B$26)+Kirish!$B$27*Kirish!$B$49+Kirish!$B$28)</f>
        <v>1243048.8</v>
      </c>
      <c r="E16" s="19" t="n">
        <f aca="false">E5*(((1-E7-Kirish!$B$24)*(Kirish!$B$25*Kirish!$B$21+(1-Kirish!$B$25)*Kirish!$B$22)+Kirish!$B$24*Kirish!$B$23)*(1+Kirish!$B$26)+Kirish!$B$27*Kirish!$B$49+Kirish!$B$28)</f>
        <v>1616406.4</v>
      </c>
      <c r="F16" s="19" t="n">
        <f aca="false">F5*(((1-F7-Kirish!$B$24)*(Kirish!$B$25*Kirish!$B$21+(1-Kirish!$B$25)*Kirish!$B$22)+Kirish!$B$24*Kirish!$B$23)*(1+Kirish!$B$26)+Kirish!$B$27*Kirish!$B$49+Kirish!$B$28)</f>
        <v>1717431.8</v>
      </c>
      <c r="G16" s="19" t="n">
        <f aca="false">G5*(((1-G7-Kirish!$B$24)*(Kirish!$B$25*Kirish!$B$21+(1-Kirish!$B$25)*Kirish!$B$22)+Kirish!$B$24*Kirish!$B$23)*(1+Kirish!$B$26)+Kirish!$B$27*Kirish!$B$49+Kirish!$B$28)</f>
        <v>1717431.8</v>
      </c>
      <c r="H16" s="19" t="n">
        <f aca="false">H5*(((1-H7-Kirish!$B$24)*(Kirish!$B$25*Kirish!$B$21+(1-Kirish!$B$25)*Kirish!$B$22)+Kirish!$B$24*Kirish!$B$23)*(1+Kirish!$B$26)+Kirish!$B$27*Kirish!$B$49+Kirish!$B$28)</f>
        <v>1717431.8</v>
      </c>
      <c r="I16" s="19" t="n">
        <f aca="false">I5*(((1-I7-Kirish!$B$24)*(Kirish!$B$25*Kirish!$B$21+(1-Kirish!$B$25)*Kirish!$B$22)+Kirish!$B$24*Kirish!$B$23)*(1+Kirish!$B$26)+Kirish!$B$27*Kirish!$B$49+Kirish!$B$28)</f>
        <v>1717431.8</v>
      </c>
      <c r="J16" s="16"/>
    </row>
    <row r="17" customFormat="false" ht="15" hidden="false" customHeight="false" outlineLevel="0" collapsed="false">
      <c r="A17" s="7" t="s">
        <v>279</v>
      </c>
      <c r="B17" s="19" t="n">
        <f aca="false">B6*Tannarx!$C$12</f>
        <v>0</v>
      </c>
      <c r="C17" s="19" t="n">
        <f aca="false">C6*Tannarx!$C$12</f>
        <v>7682.27272727273</v>
      </c>
      <c r="D17" s="19" t="n">
        <f aca="false">D6*Tannarx!$C$12</f>
        <v>64018.9393939394</v>
      </c>
      <c r="E17" s="19" t="n">
        <f aca="false">E6*Tannarx!$C$12</f>
        <v>140841.666666667</v>
      </c>
      <c r="F17" s="19" t="n">
        <f aca="false">F6*Tannarx!$C$12</f>
        <v>148523.939393939</v>
      </c>
      <c r="G17" s="19" t="n">
        <f aca="false">G6*Tannarx!$C$12</f>
        <v>148523.939393939</v>
      </c>
      <c r="H17" s="19" t="n">
        <f aca="false">H6*Tannarx!$C$12</f>
        <v>148523.939393939</v>
      </c>
      <c r="I17" s="19" t="n">
        <f aca="false">I6*Tannarx!$C$12</f>
        <v>148523.939393939</v>
      </c>
      <c r="J17" s="16"/>
    </row>
    <row r="18" customFormat="false" ht="15" hidden="false" customHeight="false" outlineLevel="0" collapsed="false">
      <c r="A18" s="7" t="s">
        <v>280</v>
      </c>
      <c r="B18" s="19" t="n">
        <f aca="false">B10*Kirish!$B$31</f>
        <v>0</v>
      </c>
      <c r="C18" s="19" t="n">
        <f aca="false">C10*Kirish!$B$31</f>
        <v>0</v>
      </c>
      <c r="D18" s="19" t="n">
        <f aca="false">D10*Kirish!$B$31</f>
        <v>0</v>
      </c>
      <c r="E18" s="19" t="n">
        <f aca="false">E10*Kirish!$B$31</f>
        <v>0</v>
      </c>
      <c r="F18" s="19" t="n">
        <f aca="false">F10*Kirish!$B$31</f>
        <v>0</v>
      </c>
      <c r="G18" s="19" t="n">
        <f aca="false">G10*Kirish!$B$31</f>
        <v>0</v>
      </c>
      <c r="H18" s="19" t="n">
        <f aca="false">H10*Kirish!$B$31</f>
        <v>0</v>
      </c>
      <c r="I18" s="19" t="n">
        <f aca="false">I10*Kirish!$B$31</f>
        <v>0</v>
      </c>
      <c r="J18" s="16"/>
    </row>
    <row r="19" customFormat="false" ht="15" hidden="false" customHeight="false" outlineLevel="0" collapsed="false">
      <c r="A19" s="7" t="s">
        <v>281</v>
      </c>
      <c r="B19" s="19" t="n">
        <f aca="false">B14*Kirish!$B$32</f>
        <v>0</v>
      </c>
      <c r="C19" s="19" t="n">
        <f aca="false">C14*Kirish!$B$32</f>
        <v>46800</v>
      </c>
      <c r="D19" s="19" t="n">
        <f aca="false">D14*Kirish!$B$32</f>
        <v>93780</v>
      </c>
      <c r="E19" s="19" t="n">
        <f aca="false">E14*Kirish!$B$32</f>
        <v>125340</v>
      </c>
      <c r="F19" s="19" t="n">
        <f aca="false">F14*Kirish!$B$32</f>
        <v>133095</v>
      </c>
      <c r="G19" s="19" t="n">
        <f aca="false">G14*Kirish!$B$32</f>
        <v>133095</v>
      </c>
      <c r="H19" s="19" t="n">
        <f aca="false">H14*Kirish!$B$32</f>
        <v>133095</v>
      </c>
      <c r="I19" s="19" t="n">
        <f aca="false">I14*Kirish!$B$32</f>
        <v>133095</v>
      </c>
      <c r="J19" s="16"/>
    </row>
    <row r="20" customFormat="false" ht="15" hidden="false" customHeight="false" outlineLevel="0" collapsed="false">
      <c r="A20" s="21" t="s">
        <v>282</v>
      </c>
      <c r="B20" s="22" t="n">
        <f aca="false">SUM(B16:B19)</f>
        <v>0</v>
      </c>
      <c r="C20" s="22" t="n">
        <f aca="false">SUM(C16:C19)</f>
        <v>694453.072727273</v>
      </c>
      <c r="D20" s="22" t="n">
        <f aca="false">SUM(D16:D19)</f>
        <v>1400847.73939394</v>
      </c>
      <c r="E20" s="22" t="n">
        <f aca="false">SUM(E16:E19)</f>
        <v>1882588.06666667</v>
      </c>
      <c r="F20" s="22" t="n">
        <f aca="false">SUM(F16:F19)</f>
        <v>1999050.73939394</v>
      </c>
      <c r="G20" s="22" t="n">
        <f aca="false">SUM(G16:G19)</f>
        <v>1999050.73939394</v>
      </c>
      <c r="H20" s="22" t="n">
        <f aca="false">SUM(H16:H19)</f>
        <v>1999050.73939394</v>
      </c>
      <c r="I20" s="22" t="n">
        <f aca="false">SUM(I16:I19)</f>
        <v>1999050.73939394</v>
      </c>
      <c r="J20" s="16"/>
    </row>
    <row r="21" customFormat="false" ht="15" hidden="false" customHeight="false" outlineLevel="0" collapsed="false">
      <c r="A21" s="21" t="s">
        <v>283</v>
      </c>
      <c r="B21" s="25" t="n">
        <f aca="false">B14-B20</f>
        <v>0</v>
      </c>
      <c r="C21" s="25" t="n">
        <f aca="false">C14-C20</f>
        <v>475546.927272727</v>
      </c>
      <c r="D21" s="25" t="n">
        <f aca="false">D14-D20</f>
        <v>943652.260606061</v>
      </c>
      <c r="E21" s="25" t="n">
        <f aca="false">E14-E20</f>
        <v>1250911.93333333</v>
      </c>
      <c r="F21" s="25" t="n">
        <f aca="false">F14-F20</f>
        <v>1328324.26060606</v>
      </c>
      <c r="G21" s="25" t="n">
        <f aca="false">G14-G20</f>
        <v>1328324.26060606</v>
      </c>
      <c r="H21" s="25" t="n">
        <f aca="false">H14-H20</f>
        <v>1328324.26060606</v>
      </c>
      <c r="I21" s="25" t="n">
        <f aca="false">I14-I20</f>
        <v>1328324.26060606</v>
      </c>
      <c r="J21" s="16"/>
    </row>
    <row r="22" customFormat="false" ht="15" hidden="false" customHeight="false" outlineLevel="0" collapsed="false">
      <c r="A22" s="5" t="s">
        <v>66</v>
      </c>
      <c r="B22" s="6"/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A23" s="7" t="s">
        <v>284</v>
      </c>
      <c r="B23" s="33" t="n">
        <v>0.5</v>
      </c>
      <c r="C23" s="33" t="n">
        <v>1</v>
      </c>
      <c r="D23" s="33" t="n">
        <v>1</v>
      </c>
      <c r="E23" s="33" t="n">
        <v>1</v>
      </c>
      <c r="F23" s="33" t="n">
        <v>1</v>
      </c>
      <c r="G23" s="33" t="n">
        <v>1</v>
      </c>
      <c r="H23" s="33" t="n">
        <v>1</v>
      </c>
      <c r="I23" s="33" t="n">
        <v>1</v>
      </c>
      <c r="J23" s="29" t="s">
        <v>285</v>
      </c>
    </row>
    <row r="24" customFormat="false" ht="15" hidden="false" customHeight="false" outlineLevel="0" collapsed="false">
      <c r="A24" s="7" t="s">
        <v>286</v>
      </c>
      <c r="B24" s="19" t="n">
        <f aca="false">B23*IF(0&lt;=1,Xodimlar!$E$16,Xodimlar!$F$16)</f>
        <v>87024</v>
      </c>
      <c r="C24" s="19" t="n">
        <f aca="false">C23*IF(1&lt;=1,Xodimlar!$E$16,Xodimlar!$F$16)</f>
        <v>174048</v>
      </c>
      <c r="D24" s="19" t="n">
        <f aca="false">D23*IF(2&lt;=1,Xodimlar!$E$16,Xodimlar!$F$16)</f>
        <v>285600</v>
      </c>
      <c r="E24" s="19" t="n">
        <f aca="false">E23*IF(3&lt;=1,Xodimlar!$E$16,Xodimlar!$F$16)</f>
        <v>285600</v>
      </c>
      <c r="F24" s="19" t="n">
        <f aca="false">F23*IF(4&lt;=1,Xodimlar!$E$16,Xodimlar!$F$16)</f>
        <v>285600</v>
      </c>
      <c r="G24" s="19" t="n">
        <f aca="false">G23*IF(5&lt;=1,Xodimlar!$E$16,Xodimlar!$F$16)</f>
        <v>285600</v>
      </c>
      <c r="H24" s="19" t="n">
        <f aca="false">H23*IF(6&lt;=1,Xodimlar!$E$16,Xodimlar!$F$16)</f>
        <v>285600</v>
      </c>
      <c r="I24" s="19" t="n">
        <f aca="false">I23*IF(7&lt;=1,Xodimlar!$E$16,Xodimlar!$F$16)</f>
        <v>285600</v>
      </c>
      <c r="J24" s="16"/>
    </row>
    <row r="25" customFormat="false" ht="15" hidden="false" customHeight="false" outlineLevel="0" collapsed="false">
      <c r="A25" s="7" t="s">
        <v>287</v>
      </c>
      <c r="B25" s="19" t="n">
        <f aca="false">Kirish!$B$34*Kirish!$B$35*12</f>
        <v>72000</v>
      </c>
      <c r="C25" s="19" t="n">
        <f aca="false">Kirish!$B$34*Kirish!$B$35*12</f>
        <v>72000</v>
      </c>
      <c r="D25" s="19" t="n">
        <f aca="false">Kirish!$B$34*Kirish!$B$35*12</f>
        <v>72000</v>
      </c>
      <c r="E25" s="19" t="n">
        <f aca="false">Kirish!$B$34*Kirish!$B$35*12</f>
        <v>72000</v>
      </c>
      <c r="F25" s="19" t="n">
        <f aca="false">Kirish!$B$34*Kirish!$B$35*12</f>
        <v>72000</v>
      </c>
      <c r="G25" s="19" t="n">
        <f aca="false">Kirish!$B$34*Kirish!$B$35*12</f>
        <v>72000</v>
      </c>
      <c r="H25" s="19" t="n">
        <f aca="false">Kirish!$B$34*Kirish!$B$35*12</f>
        <v>72000</v>
      </c>
      <c r="I25" s="19" t="n">
        <f aca="false">Kirish!$B$34*Kirish!$B$35*12</f>
        <v>72000</v>
      </c>
      <c r="J25" s="16"/>
    </row>
    <row r="26" customFormat="false" ht="15" hidden="false" customHeight="false" outlineLevel="0" collapsed="false">
      <c r="A26" s="7" t="s">
        <v>288</v>
      </c>
      <c r="B26" s="19" t="n">
        <f aca="false">IF(0&gt;=1,CAPEX!$F$42,0)*Kirish!$B$36+IF(0&gt;=2,CAPEX!$G$42,0)*Kirish!$B$36</f>
        <v>0</v>
      </c>
      <c r="C26" s="19" t="n">
        <f aca="false">IF(1&gt;=1,CAPEX!$F$42,0)*Kirish!$B$36+IF(1&gt;=2,CAPEX!$G$42,0)*Kirish!$B$36</f>
        <v>12285</v>
      </c>
      <c r="D26" s="19" t="n">
        <f aca="false">IF(2&gt;=1,CAPEX!$F$42,0)*Kirish!$B$36+IF(2&gt;=2,CAPEX!$G$42,0)*Kirish!$B$36</f>
        <v>33285</v>
      </c>
      <c r="E26" s="19" t="n">
        <f aca="false">IF(3&gt;=1,CAPEX!$F$42,0)*Kirish!$B$36+IF(3&gt;=2,CAPEX!$G$42,0)*Kirish!$B$36</f>
        <v>33285</v>
      </c>
      <c r="F26" s="19" t="n">
        <f aca="false">IF(4&gt;=1,CAPEX!$F$42,0)*Kirish!$B$36+IF(4&gt;=2,CAPEX!$G$42,0)*Kirish!$B$36</f>
        <v>33285</v>
      </c>
      <c r="G26" s="19" t="n">
        <f aca="false">IF(5&gt;=1,CAPEX!$F$42,0)*Kirish!$B$36+IF(5&gt;=2,CAPEX!$G$42,0)*Kirish!$B$36</f>
        <v>33285</v>
      </c>
      <c r="H26" s="19" t="n">
        <f aca="false">IF(6&gt;=1,CAPEX!$F$42,0)*Kirish!$B$36+IF(6&gt;=2,CAPEX!$G$42,0)*Kirish!$B$36</f>
        <v>33285</v>
      </c>
      <c r="I26" s="19" t="n">
        <f aca="false">IF(7&gt;=1,CAPEX!$F$42,0)*Kirish!$B$36+IF(7&gt;=2,CAPEX!$G$42,0)*Kirish!$B$36</f>
        <v>33285</v>
      </c>
      <c r="J26" s="16"/>
    </row>
    <row r="27" customFormat="false" ht="15" hidden="false" customHeight="false" outlineLevel="0" collapsed="false">
      <c r="A27" s="7" t="s">
        <v>289</v>
      </c>
      <c r="B27" s="19" t="n">
        <f aca="false">B23*(Kirish!$B$37+Kirish!$B$38+Kirish!$B$39+Kirish!$B$40+Kirish!$B$41)</f>
        <v>48500</v>
      </c>
      <c r="C27" s="19" t="n">
        <f aca="false">C23*(Kirish!$B$37+Kirish!$B$38+Kirish!$B$39+Kirish!$B$40+Kirish!$B$41)</f>
        <v>97000</v>
      </c>
      <c r="D27" s="19" t="n">
        <f aca="false">D23*(Kirish!$B$37+Kirish!$B$38+Kirish!$B$39+Kirish!$B$40+Kirish!$B$41)</f>
        <v>97000</v>
      </c>
      <c r="E27" s="19" t="n">
        <f aca="false">E23*(Kirish!$B$37+Kirish!$B$38+Kirish!$B$39+Kirish!$B$40+Kirish!$B$41)</f>
        <v>97000</v>
      </c>
      <c r="F27" s="19" t="n">
        <f aca="false">F23*(Kirish!$B$37+Kirish!$B$38+Kirish!$B$39+Kirish!$B$40+Kirish!$B$41)</f>
        <v>97000</v>
      </c>
      <c r="G27" s="19" t="n">
        <f aca="false">G23*(Kirish!$B$37+Kirish!$B$38+Kirish!$B$39+Kirish!$B$40+Kirish!$B$41)</f>
        <v>97000</v>
      </c>
      <c r="H27" s="19" t="n">
        <f aca="false">H23*(Kirish!$B$37+Kirish!$B$38+Kirish!$B$39+Kirish!$B$40+Kirish!$B$41)</f>
        <v>97000</v>
      </c>
      <c r="I27" s="19" t="n">
        <f aca="false">I23*(Kirish!$B$37+Kirish!$B$38+Kirish!$B$39+Kirish!$B$40+Kirish!$B$41)</f>
        <v>97000</v>
      </c>
      <c r="J27" s="16"/>
    </row>
    <row r="28" customFormat="false" ht="15" hidden="false" customHeight="false" outlineLevel="0" collapsed="false">
      <c r="A28" s="21" t="s">
        <v>290</v>
      </c>
      <c r="B28" s="22" t="n">
        <f aca="false">SUM(B24:B27)</f>
        <v>207524</v>
      </c>
      <c r="C28" s="22" t="n">
        <f aca="false">SUM(C24:C27)</f>
        <v>355333</v>
      </c>
      <c r="D28" s="22" t="n">
        <f aca="false">SUM(D24:D27)</f>
        <v>487885</v>
      </c>
      <c r="E28" s="22" t="n">
        <f aca="false">SUM(E24:E27)</f>
        <v>487885</v>
      </c>
      <c r="F28" s="22" t="n">
        <f aca="false">SUM(F24:F27)</f>
        <v>487885</v>
      </c>
      <c r="G28" s="22" t="n">
        <f aca="false">SUM(G24:G27)</f>
        <v>487885</v>
      </c>
      <c r="H28" s="22" t="n">
        <f aca="false">SUM(H24:H27)</f>
        <v>487885</v>
      </c>
      <c r="I28" s="22" t="n">
        <f aca="false">SUM(I24:I27)</f>
        <v>487885</v>
      </c>
      <c r="J28" s="16"/>
    </row>
    <row r="29" customFormat="false" ht="15" hidden="false" customHeight="false" outlineLevel="0" collapsed="false">
      <c r="A29" s="5" t="s">
        <v>291</v>
      </c>
      <c r="B29" s="6"/>
      <c r="C29" s="6"/>
      <c r="D29" s="6"/>
      <c r="E29" s="6"/>
      <c r="F29" s="6"/>
      <c r="G29" s="6"/>
      <c r="H29" s="6"/>
      <c r="I29" s="6"/>
      <c r="J29" s="6"/>
    </row>
    <row r="30" customFormat="false" ht="15" hidden="false" customHeight="false" outlineLevel="0" collapsed="false">
      <c r="A30" s="21" t="s">
        <v>292</v>
      </c>
      <c r="B30" s="25" t="n">
        <f aca="false">B21-B28</f>
        <v>-207524</v>
      </c>
      <c r="C30" s="25" t="n">
        <f aca="false">C21-C28</f>
        <v>120213.927272727</v>
      </c>
      <c r="D30" s="25" t="n">
        <f aca="false">D21-D28</f>
        <v>455767.260606061</v>
      </c>
      <c r="E30" s="25" t="n">
        <f aca="false">E21-E28</f>
        <v>763026.933333333</v>
      </c>
      <c r="F30" s="25" t="n">
        <f aca="false">F21-F28</f>
        <v>840439.26060606</v>
      </c>
      <c r="G30" s="25" t="n">
        <f aca="false">G21-G28</f>
        <v>840439.26060606</v>
      </c>
      <c r="H30" s="25" t="n">
        <f aca="false">H21-H28</f>
        <v>840439.26060606</v>
      </c>
      <c r="I30" s="25" t="n">
        <f aca="false">I21-I28</f>
        <v>840439.26060606</v>
      </c>
      <c r="J30" s="16"/>
    </row>
    <row r="31" customFormat="false" ht="15" hidden="false" customHeight="false" outlineLevel="0" collapsed="false">
      <c r="A31" s="7" t="s">
        <v>293</v>
      </c>
      <c r="B31" s="34" t="n">
        <f aca="false">IF(B14=0,0,B30/B14)</f>
        <v>0</v>
      </c>
      <c r="C31" s="34" t="n">
        <f aca="false">IF(C14=0,0,C30/C14)</f>
        <v>0.102746946386946</v>
      </c>
      <c r="D31" s="34" t="n">
        <f aca="false">IF(D14=0,0,D30/D14)</f>
        <v>0.194398490341676</v>
      </c>
      <c r="E31" s="34" t="n">
        <f aca="false">IF(E14=0,0,E30/E14)</f>
        <v>0.243506281580767</v>
      </c>
      <c r="F31" s="34" t="n">
        <f aca="false">IF(F14=0,0,F30/F14)</f>
        <v>0.252583270778334</v>
      </c>
      <c r="G31" s="34" t="n">
        <f aca="false">IF(G14=0,0,G30/G14)</f>
        <v>0.252583270778334</v>
      </c>
      <c r="H31" s="34" t="n">
        <f aca="false">IF(H14=0,0,H30/H14)</f>
        <v>0.252583270778334</v>
      </c>
      <c r="I31" s="34" t="n">
        <f aca="false">IF(I14=0,0,I30/I14)</f>
        <v>0.252583270778334</v>
      </c>
      <c r="J31" s="16"/>
    </row>
    <row r="32" customFormat="false" ht="15" hidden="false" customHeight="false" outlineLevel="0" collapsed="false">
      <c r="A32" s="7" t="s">
        <v>294</v>
      </c>
      <c r="B32" s="19" t="n">
        <f aca="false">IF(0&gt;=1,CAPEX!$F$48,0)/Kirish!$B$43+IF(0&gt;=2,CAPEX!$G$48,0)/Kirish!$B$43</f>
        <v>0</v>
      </c>
      <c r="C32" s="19" t="n">
        <f aca="false">IF(1&gt;=1,CAPEX!$F$48,0)/Kirish!$B$43+IF(1&gt;=2,CAPEX!$G$48,0)/Kirish!$B$43</f>
        <v>72607.15</v>
      </c>
      <c r="D32" s="19" t="n">
        <f aca="false">IF(2&gt;=1,CAPEX!$F$48,0)/Kirish!$B$43+IF(2&gt;=2,CAPEX!$G$48,0)/Kirish!$B$43</f>
        <v>170397.15</v>
      </c>
      <c r="E32" s="19" t="n">
        <f aca="false">IF(3&gt;=1,CAPEX!$F$48,0)/Kirish!$B$43+IF(3&gt;=2,CAPEX!$G$48,0)/Kirish!$B$43</f>
        <v>170397.15</v>
      </c>
      <c r="F32" s="19" t="n">
        <f aca="false">IF(4&gt;=1,CAPEX!$F$48,0)/Kirish!$B$43+IF(4&gt;=2,CAPEX!$G$48,0)/Kirish!$B$43</f>
        <v>170397.15</v>
      </c>
      <c r="G32" s="19" t="n">
        <f aca="false">IF(5&gt;=1,CAPEX!$F$48,0)/Kirish!$B$43+IF(5&gt;=2,CAPEX!$G$48,0)/Kirish!$B$43</f>
        <v>170397.15</v>
      </c>
      <c r="H32" s="19" t="n">
        <f aca="false">IF(6&gt;=1,CAPEX!$F$48,0)/Kirish!$B$43+IF(6&gt;=2,CAPEX!$G$48,0)/Kirish!$B$43</f>
        <v>170397.15</v>
      </c>
      <c r="I32" s="19" t="n">
        <f aca="false">IF(7&gt;=1,CAPEX!$F$48,0)/Kirish!$B$43+IF(7&gt;=2,CAPEX!$G$48,0)/Kirish!$B$43</f>
        <v>170397.15</v>
      </c>
      <c r="J32" s="16"/>
    </row>
    <row r="33" customFormat="false" ht="15" hidden="false" customHeight="false" outlineLevel="0" collapsed="false">
      <c r="A33" s="7" t="s">
        <v>295</v>
      </c>
      <c r="B33" s="19" t="n">
        <f aca="false">B30-B32</f>
        <v>-207524</v>
      </c>
      <c r="C33" s="19" t="n">
        <f aca="false">C30-C32</f>
        <v>47606.7772727273</v>
      </c>
      <c r="D33" s="19" t="n">
        <f aca="false">D30-D32</f>
        <v>285370.110606061</v>
      </c>
      <c r="E33" s="19" t="n">
        <f aca="false">E30-E32</f>
        <v>592629.783333333</v>
      </c>
      <c r="F33" s="19" t="n">
        <f aca="false">F30-F32</f>
        <v>670042.11060606</v>
      </c>
      <c r="G33" s="19" t="n">
        <f aca="false">G30-G32</f>
        <v>670042.11060606</v>
      </c>
      <c r="H33" s="19" t="n">
        <f aca="false">H30-H32</f>
        <v>670042.11060606</v>
      </c>
      <c r="I33" s="19" t="n">
        <f aca="false">I30-I32</f>
        <v>670042.11060606</v>
      </c>
      <c r="J33" s="16"/>
    </row>
    <row r="34" customFormat="false" ht="15" hidden="false" customHeight="false" outlineLevel="0" collapsed="false">
      <c r="A34" s="7" t="s">
        <v>296</v>
      </c>
      <c r="B34" s="19" t="n">
        <f aca="false">(0+B48)/2*Kirish!$B$46</f>
        <v>18151.7875</v>
      </c>
      <c r="C34" s="19" t="n">
        <f aca="false">(B48+C48)/2*Kirish!$B$46</f>
        <v>60751.075</v>
      </c>
      <c r="D34" s="19" t="n">
        <f aca="false">(C48+D48)/2*Kirish!$B$46</f>
        <v>76678.7175</v>
      </c>
      <c r="E34" s="19" t="n">
        <f aca="false">(D48+E48)/2*Kirish!$B$46</f>
        <v>59639.0025</v>
      </c>
      <c r="F34" s="19" t="n">
        <f aca="false">(E48+F48)/2*Kirish!$B$46</f>
        <v>42599.2875</v>
      </c>
      <c r="G34" s="19" t="n">
        <f aca="false">(F48+G48)/2*Kirish!$B$46</f>
        <v>25559.5725</v>
      </c>
      <c r="H34" s="19" t="n">
        <f aca="false">(G48+H48)/2*Kirish!$B$46</f>
        <v>8519.8575</v>
      </c>
      <c r="I34" s="19" t="n">
        <f aca="false">(H48+I48)/2*Kirish!$B$46</f>
        <v>0</v>
      </c>
      <c r="J34" s="16"/>
    </row>
    <row r="35" customFormat="false" ht="15" hidden="false" customHeight="false" outlineLevel="0" collapsed="false">
      <c r="A35" s="7" t="s">
        <v>297</v>
      </c>
      <c r="B35" s="19" t="n">
        <f aca="false">B33-B34</f>
        <v>-225675.7875</v>
      </c>
      <c r="C35" s="19" t="n">
        <f aca="false">C33-C34</f>
        <v>-13144.2977272728</v>
      </c>
      <c r="D35" s="19" t="n">
        <f aca="false">D33-D34</f>
        <v>208691.39310606</v>
      </c>
      <c r="E35" s="19" t="n">
        <f aca="false">E33-E34</f>
        <v>532990.780833333</v>
      </c>
      <c r="F35" s="19" t="n">
        <f aca="false">F33-F34</f>
        <v>627442.82310606</v>
      </c>
      <c r="G35" s="19" t="n">
        <f aca="false">G33-G34</f>
        <v>644482.53810606</v>
      </c>
      <c r="H35" s="19" t="n">
        <f aca="false">H33-H34</f>
        <v>661522.25310606</v>
      </c>
      <c r="I35" s="19" t="n">
        <f aca="false">I33-I34</f>
        <v>670042.11060606</v>
      </c>
      <c r="J35" s="16"/>
    </row>
    <row r="36" customFormat="false" ht="15" hidden="false" customHeight="false" outlineLevel="0" collapsed="false">
      <c r="A36" s="7" t="s">
        <v>16</v>
      </c>
      <c r="B36" s="19" t="n">
        <f aca="false">MAX(0,B35)*Kirish!$B$8</f>
        <v>0</v>
      </c>
      <c r="C36" s="19" t="n">
        <f aca="false">MAX(0,C35)*Kirish!$B$8</f>
        <v>0</v>
      </c>
      <c r="D36" s="19" t="n">
        <f aca="false">MAX(0,D35)*Kirish!$B$8</f>
        <v>31303.7089659091</v>
      </c>
      <c r="E36" s="19" t="n">
        <f aca="false">MAX(0,E35)*Kirish!$B$8</f>
        <v>79948.617125</v>
      </c>
      <c r="F36" s="19" t="n">
        <f aca="false">MAX(0,F35)*Kirish!$B$8</f>
        <v>94116.423465909</v>
      </c>
      <c r="G36" s="19" t="n">
        <f aca="false">MAX(0,G35)*Kirish!$B$8</f>
        <v>96672.380715909</v>
      </c>
      <c r="H36" s="19" t="n">
        <f aca="false">MAX(0,H35)*Kirish!$B$8</f>
        <v>99228.337965909</v>
      </c>
      <c r="I36" s="19" t="n">
        <f aca="false">MAX(0,I35)*Kirish!$B$8</f>
        <v>100506.316590909</v>
      </c>
      <c r="J36" s="29" t="s">
        <v>298</v>
      </c>
    </row>
    <row r="37" customFormat="false" ht="15" hidden="false" customHeight="false" outlineLevel="0" collapsed="false">
      <c r="A37" s="21" t="s">
        <v>299</v>
      </c>
      <c r="B37" s="25" t="n">
        <f aca="false">B35-B36</f>
        <v>-225675.7875</v>
      </c>
      <c r="C37" s="25" t="n">
        <f aca="false">C35-C36</f>
        <v>-13144.2977272728</v>
      </c>
      <c r="D37" s="25" t="n">
        <f aca="false">D35-D36</f>
        <v>177387.684140151</v>
      </c>
      <c r="E37" s="25" t="n">
        <f aca="false">E35-E36</f>
        <v>453042.163708333</v>
      </c>
      <c r="F37" s="25" t="n">
        <f aca="false">F35-F36</f>
        <v>533326.399640151</v>
      </c>
      <c r="G37" s="25" t="n">
        <f aca="false">G35-G36</f>
        <v>547810.157390151</v>
      </c>
      <c r="H37" s="25" t="n">
        <f aca="false">H35-H36</f>
        <v>562293.915140151</v>
      </c>
      <c r="I37" s="25" t="n">
        <f aca="false">I35-I36</f>
        <v>569535.794015151</v>
      </c>
      <c r="J37" s="16"/>
    </row>
    <row r="38" customFormat="false" ht="15" hidden="false" customHeight="false" outlineLevel="0" collapsed="false">
      <c r="A38" s="5" t="s">
        <v>300</v>
      </c>
      <c r="B38" s="6"/>
      <c r="C38" s="6"/>
      <c r="D38" s="6"/>
      <c r="E38" s="6"/>
      <c r="F38" s="6"/>
      <c r="G38" s="6"/>
      <c r="H38" s="6"/>
      <c r="I38" s="6"/>
      <c r="J38" s="6"/>
    </row>
    <row r="39" customFormat="false" ht="15" hidden="false" customHeight="false" outlineLevel="0" collapsed="false">
      <c r="A39" s="7" t="s">
        <v>301</v>
      </c>
      <c r="B39" s="19" t="n">
        <f aca="false">-(CAPEX!$F$48+0)</f>
        <v>-726071.5</v>
      </c>
      <c r="C39" s="19" t="n">
        <f aca="false">-(0+CAPEX!$G$48)</f>
        <v>-977900</v>
      </c>
      <c r="D39" s="19" t="n">
        <f aca="false">-(0+0)</f>
        <v>-0</v>
      </c>
      <c r="E39" s="19" t="n">
        <f aca="false">-(0+0)</f>
        <v>-0</v>
      </c>
      <c r="F39" s="19" t="n">
        <f aca="false">-(0+0)</f>
        <v>-0</v>
      </c>
      <c r="G39" s="19" t="n">
        <f aca="false">-(0+0)</f>
        <v>-0</v>
      </c>
      <c r="H39" s="19" t="n">
        <f aca="false">-(0+0)</f>
        <v>-0</v>
      </c>
      <c r="I39" s="19" t="n">
        <f aca="false">-(0+0)</f>
        <v>-0</v>
      </c>
      <c r="J39" s="16"/>
    </row>
    <row r="40" customFormat="false" ht="15" hidden="false" customHeight="false" outlineLevel="0" collapsed="false">
      <c r="A40" s="7" t="s">
        <v>302</v>
      </c>
      <c r="B40" s="19" t="n">
        <f aca="false">-B14*Kirish!$B$44</f>
        <v>-0</v>
      </c>
      <c r="C40" s="19" t="n">
        <f aca="false">-(C14-B14)*Kirish!$B$44</f>
        <v>-175500</v>
      </c>
      <c r="D40" s="19" t="n">
        <f aca="false">-(D14-C14)*Kirish!$B$44</f>
        <v>-176175</v>
      </c>
      <c r="E40" s="19" t="n">
        <f aca="false">-(E14-D14)*Kirish!$B$44</f>
        <v>-118350</v>
      </c>
      <c r="F40" s="19" t="n">
        <f aca="false">-(F14-E14)*Kirish!$B$44</f>
        <v>-29081.25</v>
      </c>
      <c r="G40" s="19" t="n">
        <f aca="false">-(G14-F14)*Kirish!$B$44</f>
        <v>-0</v>
      </c>
      <c r="H40" s="19" t="n">
        <f aca="false">-(H14-G14)*Kirish!$B$44</f>
        <v>-0</v>
      </c>
      <c r="I40" s="19" t="n">
        <f aca="false">-(I14-H14)*Kirish!$B$44</f>
        <v>-0</v>
      </c>
      <c r="J40" s="16"/>
    </row>
    <row r="41" customFormat="false" ht="15" hidden="false" customHeight="false" outlineLevel="0" collapsed="false">
      <c r="A41" s="7" t="s">
        <v>303</v>
      </c>
      <c r="B41" s="19" t="n">
        <f aca="false">-MAX(0,B33)*Kirish!$B$8</f>
        <v>-0</v>
      </c>
      <c r="C41" s="19" t="n">
        <f aca="false">-MAX(0,C33)*Kirish!$B$8</f>
        <v>-7141.01659090909</v>
      </c>
      <c r="D41" s="19" t="n">
        <f aca="false">-MAX(0,D33)*Kirish!$B$8</f>
        <v>-42805.5165909091</v>
      </c>
      <c r="E41" s="19" t="n">
        <f aca="false">-MAX(0,E33)*Kirish!$B$8</f>
        <v>-88894.4675</v>
      </c>
      <c r="F41" s="19" t="n">
        <f aca="false">-MAX(0,F33)*Kirish!$B$8</f>
        <v>-100506.316590909</v>
      </c>
      <c r="G41" s="19" t="n">
        <f aca="false">-MAX(0,G33)*Kirish!$B$8</f>
        <v>-100506.316590909</v>
      </c>
      <c r="H41" s="19" t="n">
        <f aca="false">-MAX(0,H33)*Kirish!$B$8</f>
        <v>-100506.316590909</v>
      </c>
      <c r="I41" s="19" t="n">
        <f aca="false">-MAX(0,I33)*Kirish!$B$8</f>
        <v>-100506.316590909</v>
      </c>
      <c r="J41" s="16"/>
    </row>
    <row r="42" customFormat="false" ht="15" hidden="false" customHeight="false" outlineLevel="0" collapsed="false">
      <c r="A42" s="21" t="s">
        <v>304</v>
      </c>
      <c r="B42" s="25" t="n">
        <f aca="false">B30+B39+B40+B41</f>
        <v>-933595.5</v>
      </c>
      <c r="C42" s="25" t="n">
        <f aca="false">C30+C39+C40+C41</f>
        <v>-1040327.08931818</v>
      </c>
      <c r="D42" s="25" t="n">
        <f aca="false">D30+D39+D40+D41</f>
        <v>236786.744015151</v>
      </c>
      <c r="E42" s="25" t="n">
        <f aca="false">E30+E39+E40+E41</f>
        <v>555782.465833333</v>
      </c>
      <c r="F42" s="25" t="n">
        <f aca="false">F30+F39+F40+F41</f>
        <v>710851.694015151</v>
      </c>
      <c r="G42" s="25" t="n">
        <f aca="false">G30+G39+G40+G41</f>
        <v>739932.944015151</v>
      </c>
      <c r="H42" s="25" t="n">
        <f aca="false">H30+H39+H40+H41</f>
        <v>739932.944015151</v>
      </c>
      <c r="I42" s="25" t="n">
        <f aca="false">I30+I39+I40+I41</f>
        <v>739932.944015151</v>
      </c>
      <c r="J42" s="16"/>
    </row>
    <row r="43" customFormat="false" ht="15" hidden="false" customHeight="false" outlineLevel="0" collapsed="false">
      <c r="A43" s="7" t="s">
        <v>305</v>
      </c>
      <c r="B43" s="19" t="n">
        <f aca="false">B42</f>
        <v>-933595.5</v>
      </c>
      <c r="C43" s="19" t="n">
        <f aca="false">B43+C42</f>
        <v>-1973922.58931818</v>
      </c>
      <c r="D43" s="19" t="n">
        <f aca="false">C43+D42</f>
        <v>-1737135.84530303</v>
      </c>
      <c r="E43" s="19" t="n">
        <f aca="false">D43+E42</f>
        <v>-1181353.3794697</v>
      </c>
      <c r="F43" s="19" t="n">
        <f aca="false">E43+F42</f>
        <v>-470501.685454546</v>
      </c>
      <c r="G43" s="19" t="n">
        <f aca="false">F43+G42</f>
        <v>269431.258560605</v>
      </c>
      <c r="H43" s="19" t="n">
        <f aca="false">G43+H42</f>
        <v>1009364.20257576</v>
      </c>
      <c r="I43" s="19" t="n">
        <f aca="false">H43+I42</f>
        <v>1749297.14659091</v>
      </c>
      <c r="J43" s="16"/>
    </row>
    <row r="44" customFormat="false" ht="15" hidden="false" customHeight="false" outlineLevel="0" collapsed="false">
      <c r="A44" s="7" t="s">
        <v>306</v>
      </c>
      <c r="B44" s="19" t="n">
        <f aca="false">B42/(1+Kirish!$B$10)^0</f>
        <v>-933595.5</v>
      </c>
      <c r="C44" s="19" t="n">
        <f aca="false">C42/(1+Kirish!$B$10)^1</f>
        <v>-904632.251581028</v>
      </c>
      <c r="D44" s="19" t="n">
        <f aca="false">D42/(1+Kirish!$B$10)^2</f>
        <v>179044.796986882</v>
      </c>
      <c r="E44" s="19" t="n">
        <f aca="false">E42/(1+Kirish!$B$10)^3</f>
        <v>365435.992986494</v>
      </c>
      <c r="F44" s="19" t="n">
        <f aca="false">F42/(1+Kirish!$B$10)^4</f>
        <v>406431.763188469</v>
      </c>
      <c r="G44" s="19" t="n">
        <f aca="false">G42/(1+Kirish!$B$10)^5</f>
        <v>367877.445445105</v>
      </c>
      <c r="H44" s="19" t="n">
        <f aca="false">H42/(1+Kirish!$B$10)^6</f>
        <v>319893.430821831</v>
      </c>
      <c r="I44" s="19" t="n">
        <f aca="false">I42/(1+Kirish!$B$10)^7</f>
        <v>278168.200714635</v>
      </c>
      <c r="J44" s="16"/>
    </row>
    <row r="45" customFormat="false" ht="15" hidden="false" customHeight="false" outlineLevel="0" collapsed="false">
      <c r="A45" s="5" t="s">
        <v>307</v>
      </c>
      <c r="B45" s="6"/>
      <c r="C45" s="6"/>
      <c r="D45" s="6"/>
      <c r="E45" s="6"/>
      <c r="F45" s="6"/>
      <c r="G45" s="6"/>
      <c r="H45" s="6"/>
      <c r="I45" s="6"/>
      <c r="J45" s="6"/>
    </row>
    <row r="46" customFormat="false" ht="15" hidden="false" customHeight="false" outlineLevel="0" collapsed="false">
      <c r="A46" s="7" t="s">
        <v>308</v>
      </c>
      <c r="B46" s="19" t="n">
        <f aca="false">-B39*Kirish!$B$45</f>
        <v>363035.75</v>
      </c>
      <c r="C46" s="19" t="n">
        <f aca="false">-C39*Kirish!$B$45</f>
        <v>488950</v>
      </c>
      <c r="D46" s="19" t="n">
        <f aca="false">-D39*Kirish!$B$45</f>
        <v>0</v>
      </c>
      <c r="E46" s="19" t="n">
        <f aca="false">-E39*Kirish!$B$45</f>
        <v>0</v>
      </c>
      <c r="F46" s="19" t="n">
        <f aca="false">-F39*Kirish!$B$45</f>
        <v>0</v>
      </c>
      <c r="G46" s="19" t="n">
        <f aca="false">-G39*Kirish!$B$45</f>
        <v>0</v>
      </c>
      <c r="H46" s="19" t="n">
        <f aca="false">-H39*Kirish!$B$45</f>
        <v>0</v>
      </c>
      <c r="I46" s="19" t="n">
        <f aca="false">-I39*Kirish!$B$45</f>
        <v>0</v>
      </c>
      <c r="J46" s="16"/>
    </row>
    <row r="47" customFormat="false" ht="15" hidden="false" customHeight="false" outlineLevel="0" collapsed="false">
      <c r="A47" s="7" t="s">
        <v>309</v>
      </c>
      <c r="B47" s="19" t="n">
        <f aca="false">IF(AND(0&gt;=2,0&lt;=6),SUM($B$46:$I$46)/5,0)</f>
        <v>0</v>
      </c>
      <c r="C47" s="19" t="n">
        <f aca="false">IF(AND(1&gt;=2,1&lt;=6),SUM($B$46:$I$46)/5,0)</f>
        <v>0</v>
      </c>
      <c r="D47" s="19" t="n">
        <f aca="false">IF(AND(2&gt;=2,2&lt;=6),SUM($B$46:$I$46)/5,0)</f>
        <v>170397.15</v>
      </c>
      <c r="E47" s="19" t="n">
        <f aca="false">IF(AND(3&gt;=2,3&lt;=6),SUM($B$46:$I$46)/5,0)</f>
        <v>170397.15</v>
      </c>
      <c r="F47" s="19" t="n">
        <f aca="false">IF(AND(4&gt;=2,4&lt;=6),SUM($B$46:$I$46)/5,0)</f>
        <v>170397.15</v>
      </c>
      <c r="G47" s="19" t="n">
        <f aca="false">IF(AND(5&gt;=2,5&lt;=6),SUM($B$46:$I$46)/5,0)</f>
        <v>170397.15</v>
      </c>
      <c r="H47" s="19" t="n">
        <f aca="false">IF(AND(6&gt;=2,6&lt;=6),SUM($B$46:$I$46)/5,0)</f>
        <v>170397.15</v>
      </c>
      <c r="I47" s="19" t="n">
        <f aca="false">IF(AND(7&gt;=2,7&lt;=6),SUM($B$46:$I$46)/5,0)</f>
        <v>0</v>
      </c>
      <c r="J47" s="29" t="s">
        <v>310</v>
      </c>
    </row>
    <row r="48" customFormat="false" ht="15" hidden="false" customHeight="false" outlineLevel="0" collapsed="false">
      <c r="A48" s="7" t="s">
        <v>311</v>
      </c>
      <c r="B48" s="19" t="n">
        <f aca="false">B46-B47</f>
        <v>363035.75</v>
      </c>
      <c r="C48" s="19" t="n">
        <f aca="false">B48+C46-C47</f>
        <v>851985.75</v>
      </c>
      <c r="D48" s="19" t="n">
        <f aca="false">C48+D46-D47</f>
        <v>681588.6</v>
      </c>
      <c r="E48" s="19" t="n">
        <f aca="false">D48+E46-E47</f>
        <v>511191.45</v>
      </c>
      <c r="F48" s="19" t="n">
        <f aca="false">E48+F46-F47</f>
        <v>340794.3</v>
      </c>
      <c r="G48" s="19" t="n">
        <f aca="false">F48+G46-G47</f>
        <v>170397.15</v>
      </c>
      <c r="H48" s="19" t="n">
        <f aca="false">G48+H46-H47</f>
        <v>0</v>
      </c>
      <c r="I48" s="19" t="n">
        <f aca="false">H48+I46-I47</f>
        <v>0</v>
      </c>
      <c r="J48" s="16"/>
    </row>
    <row r="49" customFormat="false" ht="15" hidden="false" customHeight="false" outlineLevel="0" collapsed="false">
      <c r="A49" s="7" t="s">
        <v>312</v>
      </c>
      <c r="B49" s="19" t="n">
        <f aca="false">Kirish!$B$47</f>
        <v>50000</v>
      </c>
      <c r="C49" s="19" t="n">
        <f aca="false">0</f>
        <v>0</v>
      </c>
      <c r="D49" s="19" t="n">
        <f aca="false">0</f>
        <v>0</v>
      </c>
      <c r="E49" s="19" t="n">
        <f aca="false">0</f>
        <v>0</v>
      </c>
      <c r="F49" s="19" t="n">
        <f aca="false">0</f>
        <v>0</v>
      </c>
      <c r="G49" s="19" t="n">
        <f aca="false">0</f>
        <v>0</v>
      </c>
      <c r="H49" s="19" t="n">
        <f aca="false">0</f>
        <v>0</v>
      </c>
      <c r="I49" s="19" t="n">
        <f aca="false">0</f>
        <v>0</v>
      </c>
      <c r="J49" s="16"/>
    </row>
    <row r="50" customFormat="false" ht="15" hidden="false" customHeight="false" outlineLevel="0" collapsed="false">
      <c r="A50" s="7" t="s">
        <v>313</v>
      </c>
      <c r="B50" s="8" t="n">
        <v>250000</v>
      </c>
      <c r="C50" s="8" t="n">
        <v>150000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29" t="s">
        <v>314</v>
      </c>
    </row>
    <row r="51" customFormat="false" ht="15" hidden="false" customHeight="false" outlineLevel="0" collapsed="false">
      <c r="A51" s="7" t="s">
        <v>315</v>
      </c>
      <c r="B51" s="19" t="n">
        <f aca="false">MAX(0,-B39-B46-B49)+B50</f>
        <v>563035.75</v>
      </c>
      <c r="C51" s="19" t="n">
        <f aca="false">MAX(0,-C39-C46-C49)+C50</f>
        <v>638950</v>
      </c>
      <c r="D51" s="19" t="n">
        <f aca="false">MAX(0,-D39-D46-D49)+D50</f>
        <v>0</v>
      </c>
      <c r="E51" s="19" t="n">
        <f aca="false">MAX(0,-E39-E46-E49)+E50</f>
        <v>0</v>
      </c>
      <c r="F51" s="19" t="n">
        <f aca="false">MAX(0,-F39-F46-F49)+F50</f>
        <v>0</v>
      </c>
      <c r="G51" s="19" t="n">
        <f aca="false">MAX(0,-G39-G46-G49)+G50</f>
        <v>0</v>
      </c>
      <c r="H51" s="19" t="n">
        <f aca="false">MAX(0,-H39-H46-H49)+H50</f>
        <v>0</v>
      </c>
      <c r="I51" s="19" t="n">
        <f aca="false">MAX(0,-I39-I46-I49)+I50</f>
        <v>0</v>
      </c>
      <c r="J51" s="29" t="s">
        <v>316</v>
      </c>
    </row>
    <row r="52" customFormat="false" ht="15" hidden="false" customHeight="false" outlineLevel="0" collapsed="false">
      <c r="A52" s="21" t="s">
        <v>317</v>
      </c>
      <c r="B52" s="22" t="n">
        <f aca="false">B30+B39+B40-B36-B34+B46-B47+B49+B51</f>
        <v>24324.2125</v>
      </c>
      <c r="C52" s="22" t="n">
        <f aca="false">C30+C39+C40-C36-C34+C46-C47+C49+C51</f>
        <v>33962.8522727273</v>
      </c>
      <c r="D52" s="22" t="n">
        <f aca="false">D30+D39+D40-D36-D34+D46-D47+D49+D51</f>
        <v>1212.68414015145</v>
      </c>
      <c r="E52" s="22" t="n">
        <f aca="false">E30+E39+E40-E36-E34+E46-E47+E49+E51</f>
        <v>334692.163708333</v>
      </c>
      <c r="F52" s="22" t="n">
        <f aca="false">F30+F39+F40-F36-F34+F46-F47+F49+F51</f>
        <v>504245.149640151</v>
      </c>
      <c r="G52" s="22" t="n">
        <f aca="false">G30+G39+G40-G36-G34+G46-G47+G49+G51</f>
        <v>547810.157390151</v>
      </c>
      <c r="H52" s="22" t="n">
        <f aca="false">H30+H39+H40-H36-H34+H46-H47+H49+H51</f>
        <v>562293.915140151</v>
      </c>
      <c r="I52" s="22" t="n">
        <f aca="false">I30+I39+I40-I36-I34+I46-I47+I49+I51</f>
        <v>739932.944015151</v>
      </c>
      <c r="J52" s="16"/>
    </row>
    <row r="53" customFormat="false" ht="15" hidden="false" customHeight="false" outlineLevel="0" collapsed="false">
      <c r="A53" s="21" t="s">
        <v>318</v>
      </c>
      <c r="B53" s="25" t="n">
        <f aca="false">B52</f>
        <v>24324.2125</v>
      </c>
      <c r="C53" s="25" t="n">
        <f aca="false">B53+C52</f>
        <v>58287.0647727273</v>
      </c>
      <c r="D53" s="25" t="n">
        <f aca="false">C53+D52</f>
        <v>59499.7489128788</v>
      </c>
      <c r="E53" s="25" t="n">
        <f aca="false">D53+E52</f>
        <v>394191.912621212</v>
      </c>
      <c r="F53" s="25" t="n">
        <f aca="false">E53+F52</f>
        <v>898437.062261363</v>
      </c>
      <c r="G53" s="25" t="n">
        <f aca="false">F53+G52</f>
        <v>1446247.21965151</v>
      </c>
      <c r="H53" s="25" t="n">
        <f aca="false">G53+H52</f>
        <v>2008541.13479167</v>
      </c>
      <c r="I53" s="25" t="n">
        <f aca="false">H53+I52</f>
        <v>2748474.07880682</v>
      </c>
      <c r="J53" s="16"/>
    </row>
    <row r="54" customFormat="false" ht="15" hidden="false" customHeight="false" outlineLevel="0" collapsed="false">
      <c r="A54" s="7" t="s">
        <v>319</v>
      </c>
      <c r="B54" s="35" t="n">
        <f aca="false">IF((B34+B47)=0,0,B30/(B34+B47))</f>
        <v>-11.4327032530543</v>
      </c>
      <c r="C54" s="35" t="n">
        <f aca="false">IF((C34+C47)=0,0,C30/(C34+C47))</f>
        <v>1.97879506284831</v>
      </c>
      <c r="D54" s="35" t="n">
        <f aca="false">IF((D34+D47)=0,0,D30/(D34+D47))</f>
        <v>1.84464498786414</v>
      </c>
      <c r="E54" s="35" t="n">
        <f aca="false">IF((E34+E47)=0,0,E30/(E34+E47))</f>
        <v>3.31698702591252</v>
      </c>
      <c r="F54" s="35" t="n">
        <f aca="false">IF((F34+F47)=0,0,F30/(F34+F47))</f>
        <v>3.94579022292831</v>
      </c>
      <c r="G54" s="35" t="n">
        <f aca="false">IF((G34+G47)=0,0,G30/(G34+G47))</f>
        <v>4.28890241622642</v>
      </c>
      <c r="H54" s="35" t="n">
        <f aca="false">IF((H34+H47)=0,0,H30/(H34+H47))</f>
        <v>4.69736931300989</v>
      </c>
      <c r="I54" s="35" t="n">
        <f aca="false">IF((I34+I47)=0,0,I30/(I34+I47))</f>
        <v>0</v>
      </c>
      <c r="J54" s="29" t="s">
        <v>320</v>
      </c>
    </row>
    <row r="55" customFormat="false" ht="15" hidden="false" customHeight="false" outlineLevel="0" collapsed="false">
      <c r="A55" s="16"/>
      <c r="B55" s="16"/>
      <c r="C55" s="16"/>
      <c r="D55" s="16"/>
      <c r="E55" s="16"/>
      <c r="F55" s="16"/>
      <c r="G55" s="16"/>
      <c r="H55" s="16"/>
      <c r="I55" s="16"/>
      <c r="J55" s="16"/>
    </row>
    <row r="56" customFormat="false" ht="15" hidden="false" customHeight="false" outlineLevel="0" collapsed="false">
      <c r="A56" s="5" t="s">
        <v>321</v>
      </c>
      <c r="B56" s="6"/>
      <c r="C56" s="6"/>
      <c r="D56" s="6"/>
      <c r="E56" s="6"/>
      <c r="F56" s="6"/>
      <c r="G56" s="6"/>
      <c r="H56" s="6"/>
      <c r="I56" s="6"/>
      <c r="J56" s="6"/>
    </row>
    <row r="57" customFormat="false" ht="15" hidden="false" customHeight="false" outlineLevel="0" collapsed="false">
      <c r="A57" s="21" t="s">
        <v>322</v>
      </c>
      <c r="B57" s="25" t="n">
        <f aca="false">CAPEX!$H$48</f>
        <v>1703971.5</v>
      </c>
      <c r="C57" s="16"/>
      <c r="D57" s="16"/>
      <c r="E57" s="16"/>
      <c r="F57" s="16"/>
      <c r="G57" s="16"/>
      <c r="H57" s="16"/>
      <c r="I57" s="16"/>
      <c r="J57" s="16"/>
    </row>
    <row r="58" customFormat="false" ht="15" hidden="false" customHeight="false" outlineLevel="0" collapsed="false">
      <c r="A58" s="21" t="s">
        <v>323</v>
      </c>
      <c r="B58" s="36" t="n">
        <f aca="false">SUM(B44:I44)</f>
        <v>78623.8785623876</v>
      </c>
      <c r="C58" s="16"/>
      <c r="D58" s="16"/>
      <c r="E58" s="16"/>
      <c r="F58" s="16"/>
      <c r="G58" s="16"/>
      <c r="H58" s="16"/>
      <c r="I58" s="16"/>
      <c r="J58" s="16"/>
    </row>
    <row r="59" customFormat="false" ht="15" hidden="false" customHeight="false" outlineLevel="0" collapsed="false">
      <c r="A59" s="21" t="s">
        <v>324</v>
      </c>
      <c r="B59" s="37" t="n">
        <f aca="false">IRR(B42:I42)</f>
        <v>0.161864393345517</v>
      </c>
      <c r="C59" s="16"/>
      <c r="D59" s="16"/>
      <c r="E59" s="16"/>
      <c r="F59" s="16"/>
      <c r="G59" s="16"/>
      <c r="H59" s="16"/>
      <c r="I59" s="16"/>
      <c r="J59" s="16"/>
    </row>
    <row r="60" customFormat="false" ht="15" hidden="false" customHeight="false" outlineLevel="0" collapsed="false">
      <c r="A60" s="21" t="s">
        <v>325</v>
      </c>
      <c r="B60" s="25" t="n">
        <f aca="false">I42*5/(1+Kirish!$B$10)^7</f>
        <v>1390841.00357318</v>
      </c>
      <c r="C60" s="16"/>
      <c r="D60" s="16"/>
      <c r="E60" s="16"/>
      <c r="F60" s="16"/>
      <c r="G60" s="16"/>
      <c r="H60" s="16"/>
      <c r="I60" s="16"/>
      <c r="J60" s="16"/>
    </row>
    <row r="61" customFormat="false" ht="15" hidden="false" customHeight="false" outlineLevel="0" collapsed="false">
      <c r="A61" s="21" t="s">
        <v>326</v>
      </c>
      <c r="B61" s="25" t="n">
        <f aca="false">B58+B60</f>
        <v>1469464.88213556</v>
      </c>
      <c r="C61" s="16"/>
      <c r="D61" s="16"/>
      <c r="E61" s="16"/>
      <c r="F61" s="16"/>
      <c r="G61" s="16"/>
      <c r="H61" s="16"/>
      <c r="I61" s="16"/>
      <c r="J61" s="16"/>
    </row>
    <row r="62" customFormat="false" ht="15" hidden="false" customHeight="false" outlineLevel="0" collapsed="false">
      <c r="A62" s="21" t="s">
        <v>327</v>
      </c>
      <c r="B62" s="38" t="n">
        <f aca="false">IF(AND(B43&lt;0,C43&gt;=0),0+(-B43)/C42,IF(AND(C43&lt;0,D43&gt;=0),1+(-C43)/D42,IF(AND(D43&lt;0,E43&gt;=0),2+(-D43)/E42,IF(AND(E43&lt;0,F43&gt;=0),3+(-E43)/F42,IF(AND(F43&lt;0,G43&gt;=0),4+(-F43)/G42,IF(AND(G43&lt;0,H43&gt;=0),5+(-G43)/H42,IF(AND(H43&lt;0,I43&gt;=0),6+(-H43)/I42,"7 yildan ortiq")))))))</f>
        <v>4.63587070863669</v>
      </c>
      <c r="C62" s="16"/>
      <c r="D62" s="16"/>
      <c r="E62" s="16"/>
      <c r="F62" s="16"/>
      <c r="G62" s="16"/>
      <c r="H62" s="16"/>
      <c r="I62" s="16"/>
      <c r="J62" s="16"/>
    </row>
    <row r="63" customFormat="false" ht="15" hidden="false" customHeight="false" outlineLevel="0" collapsed="false">
      <c r="A63" s="21" t="s">
        <v>328</v>
      </c>
      <c r="B63" s="39" t="n">
        <f aca="false">(F28-(F13-F17))/((Kirish!$B$30*(1-Kirish!$B$32))-F16/F5)</f>
        <v>362.075332751147</v>
      </c>
      <c r="C63" s="16"/>
      <c r="D63" s="16"/>
      <c r="E63" s="16"/>
      <c r="F63" s="16"/>
      <c r="G63" s="16"/>
      <c r="H63" s="16"/>
      <c r="I63" s="16"/>
      <c r="J63" s="29" t="s">
        <v>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4"/>
  </cols>
  <sheetData>
    <row r="1" customFormat="false" ht="24" hidden="false" customHeight="true" outlineLevel="0" collapsed="false">
      <c r="A1" s="1" t="s">
        <v>330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8" t="s">
        <v>331</v>
      </c>
      <c r="B2" s="16"/>
      <c r="C2" s="16"/>
      <c r="D2" s="16"/>
      <c r="E2" s="16"/>
      <c r="F2" s="16"/>
    </row>
    <row r="3" customFormat="false" ht="15" hidden="false" customHeight="false" outlineLevel="0" collapsed="false">
      <c r="A3" s="16"/>
      <c r="B3" s="16"/>
      <c r="C3" s="16"/>
      <c r="D3" s="16"/>
      <c r="E3" s="16"/>
      <c r="F3" s="16"/>
    </row>
    <row r="4" customFormat="false" ht="15" hidden="false" customHeight="false" outlineLevel="0" collapsed="false">
      <c r="A4" s="21" t="s">
        <v>332</v>
      </c>
      <c r="B4" s="40" t="n">
        <v>-0.2</v>
      </c>
      <c r="C4" s="40" t="n">
        <v>-0.1</v>
      </c>
      <c r="D4" s="40" t="n">
        <v>0</v>
      </c>
      <c r="E4" s="40" t="n">
        <v>0.1</v>
      </c>
      <c r="F4" s="40" t="n">
        <v>0.2</v>
      </c>
    </row>
    <row r="5" customFormat="false" ht="15" hidden="false" customHeight="false" outlineLevel="0" collapsed="false">
      <c r="A5" s="40" t="n">
        <v>-0.2</v>
      </c>
      <c r="B5" s="26" t="n">
        <f aca="false">Prognoz!$F$30+$A5*Prognoz!$F$5*Kirish!$B$30*(1-Kirish!$B$32)-B$4*Prognoz!$F$5*(1-Prognoz!$F$7-Kirish!$B$24)*Kirish!$B$25*Kirish!$B$21*(1+Kirish!$B$26)</f>
        <v>390763.08060606</v>
      </c>
      <c r="C5" s="26" t="n">
        <f aca="false">Prognoz!$F$30+$A5*Prognoz!$F$5*Kirish!$B$30*(1-Kirish!$B$32)-C$4*Prognoz!$F$5*(1-Prognoz!$F$7-Kirish!$B$24)*Kirish!$B$25*Kirish!$B$21*(1+Kirish!$B$26)</f>
        <v>297361.17060606</v>
      </c>
      <c r="D5" s="26" t="n">
        <f aca="false">Prognoz!$F$30+$A5*Prognoz!$F$5*Kirish!$B$30*(1-Kirish!$B$32)-D$4*Prognoz!$F$5*(1-Prognoz!$F$7-Kirish!$B$24)*Kirish!$B$25*Kirish!$B$21*(1+Kirish!$B$26)</f>
        <v>203959.26060606</v>
      </c>
      <c r="E5" s="26" t="n">
        <f aca="false">Prognoz!$F$30+$A5*Prognoz!$F$5*Kirish!$B$30*(1-Kirish!$B$32)-E$4*Prognoz!$F$5*(1-Prognoz!$F$7-Kirish!$B$24)*Kirish!$B$25*Kirish!$B$21*(1+Kirish!$B$26)</f>
        <v>110557.35060606</v>
      </c>
      <c r="F5" s="26" t="n">
        <f aca="false">Prognoz!$F$30+$A5*Prognoz!$F$5*Kirish!$B$30*(1-Kirish!$B$32)-F$4*Prognoz!$F$5*(1-Prognoz!$F$7-Kirish!$B$24)*Kirish!$B$25*Kirish!$B$21*(1+Kirish!$B$26)</f>
        <v>17155.4406060602</v>
      </c>
    </row>
    <row r="6" customFormat="false" ht="15" hidden="false" customHeight="false" outlineLevel="0" collapsed="false">
      <c r="A6" s="40" t="n">
        <v>-0.1</v>
      </c>
      <c r="B6" s="26" t="n">
        <f aca="false">Prognoz!$F$30+$A6*Prognoz!$F$5*Kirish!$B$30*(1-Kirish!$B$32)-B$4*Prognoz!$F$5*(1-Prognoz!$F$7-Kirish!$B$24)*Kirish!$B$25*Kirish!$B$21*(1+Kirish!$B$26)</f>
        <v>709003.08060606</v>
      </c>
      <c r="C6" s="26" t="n">
        <f aca="false">Prognoz!$F$30+$A6*Prognoz!$F$5*Kirish!$B$30*(1-Kirish!$B$32)-C$4*Prognoz!$F$5*(1-Prognoz!$F$7-Kirish!$B$24)*Kirish!$B$25*Kirish!$B$21*(1+Kirish!$B$26)</f>
        <v>615601.17060606</v>
      </c>
      <c r="D6" s="26" t="n">
        <f aca="false">Prognoz!$F$30+$A6*Prognoz!$F$5*Kirish!$B$30*(1-Kirish!$B$32)-D$4*Prognoz!$F$5*(1-Prognoz!$F$7-Kirish!$B$24)*Kirish!$B$25*Kirish!$B$21*(1+Kirish!$B$26)</f>
        <v>522199.26060606</v>
      </c>
      <c r="E6" s="26" t="n">
        <f aca="false">Prognoz!$F$30+$A6*Prognoz!$F$5*Kirish!$B$30*(1-Kirish!$B$32)-E$4*Prognoz!$F$5*(1-Prognoz!$F$7-Kirish!$B$24)*Kirish!$B$25*Kirish!$B$21*(1+Kirish!$B$26)</f>
        <v>428797.35060606</v>
      </c>
      <c r="F6" s="26" t="n">
        <f aca="false">Prognoz!$F$30+$A6*Prognoz!$F$5*Kirish!$B$30*(1-Kirish!$B$32)-F$4*Prognoz!$F$5*(1-Prognoz!$F$7-Kirish!$B$24)*Kirish!$B$25*Kirish!$B$21*(1+Kirish!$B$26)</f>
        <v>335395.44060606</v>
      </c>
    </row>
    <row r="7" customFormat="false" ht="15" hidden="false" customHeight="false" outlineLevel="0" collapsed="false">
      <c r="A7" s="40" t="n">
        <v>0</v>
      </c>
      <c r="B7" s="26" t="n">
        <f aca="false">Prognoz!$F$30+$A7*Prognoz!$F$5*Kirish!$B$30*(1-Kirish!$B$32)-B$4*Prognoz!$F$5*(1-Prognoz!$F$7-Kirish!$B$24)*Kirish!$B$25*Kirish!$B$21*(1+Kirish!$B$26)</f>
        <v>1027243.08060606</v>
      </c>
      <c r="C7" s="26" t="n">
        <f aca="false">Prognoz!$F$30+$A7*Prognoz!$F$5*Kirish!$B$30*(1-Kirish!$B$32)-C$4*Prognoz!$F$5*(1-Prognoz!$F$7-Kirish!$B$24)*Kirish!$B$25*Kirish!$B$21*(1+Kirish!$B$26)</f>
        <v>933841.17060606</v>
      </c>
      <c r="D7" s="41" t="n">
        <f aca="false">Prognoz!$F$30+$A7*Prognoz!$F$5*Kirish!$B$30*(1-Kirish!$B$32)-D$4*Prognoz!$F$5*(1-Prognoz!$F$7-Kirish!$B$24)*Kirish!$B$25*Kirish!$B$21*(1+Kirish!$B$26)</f>
        <v>840439.26060606</v>
      </c>
      <c r="E7" s="26" t="n">
        <f aca="false">Prognoz!$F$30+$A7*Prognoz!$F$5*Kirish!$B$30*(1-Kirish!$B$32)-E$4*Prognoz!$F$5*(1-Prognoz!$F$7-Kirish!$B$24)*Kirish!$B$25*Kirish!$B$21*(1+Kirish!$B$26)</f>
        <v>747037.35060606</v>
      </c>
      <c r="F7" s="26" t="n">
        <f aca="false">Prognoz!$F$30+$A7*Prognoz!$F$5*Kirish!$B$30*(1-Kirish!$B$32)-F$4*Prognoz!$F$5*(1-Prognoz!$F$7-Kirish!$B$24)*Kirish!$B$25*Kirish!$B$21*(1+Kirish!$B$26)</f>
        <v>653635.44060606</v>
      </c>
    </row>
    <row r="8" customFormat="false" ht="15" hidden="false" customHeight="false" outlineLevel="0" collapsed="false">
      <c r="A8" s="40" t="n">
        <v>0.1</v>
      </c>
      <c r="B8" s="26" t="n">
        <f aca="false">Prognoz!$F$30+$A8*Prognoz!$F$5*Kirish!$B$30*(1-Kirish!$B$32)-B$4*Prognoz!$F$5*(1-Prognoz!$F$7-Kirish!$B$24)*Kirish!$B$25*Kirish!$B$21*(1+Kirish!$B$26)</f>
        <v>1345483.08060606</v>
      </c>
      <c r="C8" s="26" t="n">
        <f aca="false">Prognoz!$F$30+$A8*Prognoz!$F$5*Kirish!$B$30*(1-Kirish!$B$32)-C$4*Prognoz!$F$5*(1-Prognoz!$F$7-Kirish!$B$24)*Kirish!$B$25*Kirish!$B$21*(1+Kirish!$B$26)</f>
        <v>1252081.17060606</v>
      </c>
      <c r="D8" s="26" t="n">
        <f aca="false">Prognoz!$F$30+$A8*Prognoz!$F$5*Kirish!$B$30*(1-Kirish!$B$32)-D$4*Prognoz!$F$5*(1-Prognoz!$F$7-Kirish!$B$24)*Kirish!$B$25*Kirish!$B$21*(1+Kirish!$B$26)</f>
        <v>1158679.26060606</v>
      </c>
      <c r="E8" s="26" t="n">
        <f aca="false">Prognoz!$F$30+$A8*Prognoz!$F$5*Kirish!$B$30*(1-Kirish!$B$32)-E$4*Prognoz!$F$5*(1-Prognoz!$F$7-Kirish!$B$24)*Kirish!$B$25*Kirish!$B$21*(1+Kirish!$B$26)</f>
        <v>1065277.35060606</v>
      </c>
      <c r="F8" s="26" t="n">
        <f aca="false">Prognoz!$F$30+$A8*Prognoz!$F$5*Kirish!$B$30*(1-Kirish!$B$32)-F$4*Prognoz!$F$5*(1-Prognoz!$F$7-Kirish!$B$24)*Kirish!$B$25*Kirish!$B$21*(1+Kirish!$B$26)</f>
        <v>971875.44060606</v>
      </c>
    </row>
    <row r="9" customFormat="false" ht="15" hidden="false" customHeight="false" outlineLevel="0" collapsed="false">
      <c r="A9" s="40" t="n">
        <v>0.2</v>
      </c>
      <c r="B9" s="26" t="n">
        <f aca="false">Prognoz!$F$30+$A9*Prognoz!$F$5*Kirish!$B$30*(1-Kirish!$B$32)-B$4*Prognoz!$F$5*(1-Prognoz!$F$7-Kirish!$B$24)*Kirish!$B$25*Kirish!$B$21*(1+Kirish!$B$26)</f>
        <v>1663723.08060606</v>
      </c>
      <c r="C9" s="26" t="n">
        <f aca="false">Prognoz!$F$30+$A9*Prognoz!$F$5*Kirish!$B$30*(1-Kirish!$B$32)-C$4*Prognoz!$F$5*(1-Prognoz!$F$7-Kirish!$B$24)*Kirish!$B$25*Kirish!$B$21*(1+Kirish!$B$26)</f>
        <v>1570321.17060606</v>
      </c>
      <c r="D9" s="26" t="n">
        <f aca="false">Prognoz!$F$30+$A9*Prognoz!$F$5*Kirish!$B$30*(1-Kirish!$B$32)-D$4*Prognoz!$F$5*(1-Prognoz!$F$7-Kirish!$B$24)*Kirish!$B$25*Kirish!$B$21*(1+Kirish!$B$26)</f>
        <v>1476919.26060606</v>
      </c>
      <c r="E9" s="26" t="n">
        <f aca="false">Prognoz!$F$30+$A9*Prognoz!$F$5*Kirish!$B$30*(1-Kirish!$B$32)-E$4*Prognoz!$F$5*(1-Prognoz!$F$7-Kirish!$B$24)*Kirish!$B$25*Kirish!$B$21*(1+Kirish!$B$26)</f>
        <v>1383517.35060606</v>
      </c>
      <c r="F9" s="26" t="n">
        <f aca="false">Prognoz!$F$30+$A9*Prognoz!$F$5*Kirish!$B$30*(1-Kirish!$B$32)-F$4*Prognoz!$F$5*(1-Prognoz!$F$7-Kirish!$B$24)*Kirish!$B$25*Kirish!$B$21*(1+Kirish!$B$26)</f>
        <v>1290115.44060606</v>
      </c>
    </row>
    <row r="10" customFormat="false" ht="15" hidden="false" customHeight="false" outlineLevel="0" collapsed="false">
      <c r="A10" s="16"/>
      <c r="B10" s="16"/>
      <c r="C10" s="16"/>
      <c r="D10" s="16"/>
      <c r="E10" s="16"/>
      <c r="F10" s="16"/>
    </row>
    <row r="11" customFormat="false" ht="15" hidden="false" customHeight="false" outlineLevel="0" collapsed="false">
      <c r="A11" s="42" t="s">
        <v>333</v>
      </c>
      <c r="B11" s="16"/>
      <c r="C11" s="16"/>
      <c r="D11" s="16"/>
      <c r="E11" s="16"/>
      <c r="F11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  <col collapsed="false" customWidth="true" hidden="false" outlineLevel="0" max="4" min="4" style="0" width="90"/>
  </cols>
  <sheetData>
    <row r="1" customFormat="false" ht="24" hidden="false" customHeight="true" outlineLevel="0" collapsed="false">
      <c r="A1" s="1" t="s">
        <v>334</v>
      </c>
      <c r="B1" s="2"/>
      <c r="C1" s="2"/>
      <c r="D1" s="2"/>
    </row>
    <row r="2" customFormat="false" ht="15" hidden="false" customHeight="false" outlineLevel="0" collapsed="false">
      <c r="A2" s="16"/>
      <c r="B2" s="16"/>
      <c r="C2" s="16"/>
      <c r="D2" s="16"/>
    </row>
    <row r="3" customFormat="false" ht="26.85" hidden="false" customHeight="false" outlineLevel="0" collapsed="false">
      <c r="A3" s="4" t="s">
        <v>2</v>
      </c>
      <c r="B3" s="4" t="s">
        <v>335</v>
      </c>
      <c r="C3" s="4" t="s">
        <v>336</v>
      </c>
      <c r="D3" s="4" t="s">
        <v>337</v>
      </c>
    </row>
    <row r="4" customFormat="false" ht="45" hidden="false" customHeight="true" outlineLevel="0" collapsed="false">
      <c r="A4" s="21" t="s">
        <v>338</v>
      </c>
      <c r="B4" s="8" t="n">
        <v>250</v>
      </c>
      <c r="C4" s="43" t="n">
        <f aca="false">Kirish!$B$30</f>
        <v>3900</v>
      </c>
      <c r="D4" s="44" t="s">
        <v>339</v>
      </c>
    </row>
    <row r="5" customFormat="false" ht="45" hidden="false" customHeight="true" outlineLevel="0" collapsed="false">
      <c r="A5" s="21" t="s">
        <v>340</v>
      </c>
      <c r="B5" s="8" t="n">
        <v>95</v>
      </c>
      <c r="C5" s="43" t="n">
        <f aca="false">Tannarx!C22</f>
        <v>2195.27970454546</v>
      </c>
      <c r="D5" s="44" t="s">
        <v>341</v>
      </c>
    </row>
    <row r="6" customFormat="false" ht="45" hidden="false" customHeight="true" outlineLevel="0" collapsed="false">
      <c r="A6" s="21" t="s">
        <v>342</v>
      </c>
      <c r="B6" s="8" t="n">
        <v>50</v>
      </c>
      <c r="C6" s="43" t="n">
        <f aca="false">Tannarx!C5</f>
        <v>909.090909090909</v>
      </c>
      <c r="D6" s="44" t="s">
        <v>343</v>
      </c>
    </row>
    <row r="7" customFormat="false" ht="45" hidden="false" customHeight="true" outlineLevel="0" collapsed="false">
      <c r="A7" s="21" t="s">
        <v>344</v>
      </c>
      <c r="B7" s="8" t="n">
        <v>50</v>
      </c>
      <c r="C7" s="43" t="n">
        <f aca="false">Prognoz!F5/12</f>
        <v>70.8333333333333</v>
      </c>
      <c r="D7" s="44" t="s">
        <v>345</v>
      </c>
    </row>
    <row r="8" customFormat="false" ht="45" hidden="false" customHeight="true" outlineLevel="0" collapsed="false">
      <c r="A8" s="21" t="s">
        <v>346</v>
      </c>
      <c r="B8" s="8" t="n">
        <v>60000</v>
      </c>
      <c r="C8" s="43" t="n">
        <f aca="false">CAPEX!$H$48</f>
        <v>1703971.5</v>
      </c>
      <c r="D8" s="44" t="s">
        <v>347</v>
      </c>
    </row>
    <row r="9" customFormat="false" ht="45" hidden="false" customHeight="true" outlineLevel="0" collapsed="false">
      <c r="A9" s="21" t="s">
        <v>348</v>
      </c>
      <c r="B9" s="8" t="n">
        <v>93000</v>
      </c>
      <c r="C9" s="43" t="n">
        <f aca="false">Prognoz!F37</f>
        <v>533326.399640151</v>
      </c>
      <c r="D9" s="44" t="s">
        <v>349</v>
      </c>
    </row>
    <row r="10" customFormat="false" ht="45" hidden="false" customHeight="true" outlineLevel="0" collapsed="false">
      <c r="A10" s="21" t="s">
        <v>350</v>
      </c>
      <c r="B10" s="18" t="s">
        <v>351</v>
      </c>
      <c r="C10" s="45" t="n">
        <f aca="false">Prognoz!B62</f>
        <v>4.63587070863669</v>
      </c>
      <c r="D10" s="44" t="s">
        <v>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2026-10-24T18:46:32Z</dcterms:created>
  <dc:creator>openpyxl</dc:creator>
  <dc:description/>
  <dc:language>en-US</dc:language>
  <cp:lastModifiedBy/>
  <dcterms:modified xsi:type="dcterms:W3CDTF">2026-10-24T18:46:32Z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